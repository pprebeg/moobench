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filterPrivacy="1" codeName="ThisWorkbook" defaultThemeVersion="124226"/>
  <xr:revisionPtr revIDLastSave="0" documentId="13_ncr:1_{357E8FA7-B3B7-4BDE-87ED-5C61991148A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liza_okvira_LC_kombinirani" sheetId="1" r:id="rId1"/>
    <sheet name="Originalna Analiza_okvira" sheetId="4" r:id="rId2"/>
    <sheet name="Optimizacijski_problem" sheetId="3" r:id="rId3"/>
  </sheets>
  <definedNames>
    <definedName name="fa">Analiza_okvira_LC_kombinirani!$D$82</definedName>
    <definedName name="fb">Analiza_okvira_LC_kombinirani!$D$83</definedName>
    <definedName name="fc">Analiza_okvira_LC_kombinirani!$D$84</definedName>
    <definedName name="fd">Analiza_okvira_LC_kombinirani!$D$85</definedName>
    <definedName name="fe">Analiza_okvira_LC_kombinirani!$D$86</definedName>
    <definedName name="ff">Analiza_okvira_LC_kombinirani!$D$87</definedName>
    <definedName name="pb">Analiza_okvira_LC_kombinirani!$C$20</definedName>
    <definedName name="pd">Analiza_okvira_LC_kombinirani!$C$22</definedName>
    <definedName name="pj">Analiza_okvira_LC_kombinirani!$C$21</definedName>
    <definedName name="pt">Analiza_okvira_LC_kombinirani!$C$23</definedName>
    <definedName name="solver_adj" localSheetId="0" hidden="1">Analiza_okvira_LC_kombinirani!$I$64:$I$69</definedName>
    <definedName name="solver_adj" localSheetId="2" hidden="1">Optimizacijski_problem!$D$4:$G$12</definedName>
    <definedName name="solver_cvg" localSheetId="0" hidden="1">0.0001</definedName>
    <definedName name="solver_cvg" localSheetId="2" hidden="1">0.0001</definedName>
    <definedName name="solver_drv" localSheetId="0" hidden="1">1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0" hidden="1">Analiza_okvira_LC_kombinirani!#REF!</definedName>
    <definedName name="solver_lhs1" localSheetId="2" hidden="1">Optimizacijski_problem!$I$4</definedName>
    <definedName name="solver_lhs10" localSheetId="2" hidden="1">Optimizacijski_problem!$E$4</definedName>
    <definedName name="solver_lhs100" localSheetId="2" hidden="1">Optimizacijski_problem!$G$9</definedName>
    <definedName name="solver_lhs101" localSheetId="2" hidden="1">Optimizacijski_problem!$AG$9</definedName>
    <definedName name="solver_lhs102" localSheetId="2" hidden="1">Optimizacijski_problem!$AH$9</definedName>
    <definedName name="solver_lhs103" localSheetId="2" hidden="1">Optimizacijski_problem!$I$10</definedName>
    <definedName name="solver_lhs104" localSheetId="2" hidden="1">Optimizacijski_problem!$I$10</definedName>
    <definedName name="solver_lhs105" localSheetId="2" hidden="1">Optimizacijski_problem!$L$10</definedName>
    <definedName name="solver_lhs106" localSheetId="2" hidden="1">Optimizacijski_problem!$N$10</definedName>
    <definedName name="solver_lhs107" localSheetId="2" hidden="1">Optimizacijski_problem!$N$10</definedName>
    <definedName name="solver_lhs108" localSheetId="2" hidden="1">Optimizacijski_problem!$Q$10</definedName>
    <definedName name="solver_lhs109" localSheetId="2" hidden="1">Optimizacijski_problem!$Q$10</definedName>
    <definedName name="solver_lhs11" localSheetId="2" hidden="1">Optimizacijski_problem!$E$4</definedName>
    <definedName name="solver_lhs110" localSheetId="2" hidden="1">Optimizacijski_problem!$D$10</definedName>
    <definedName name="solver_lhs111" localSheetId="2" hidden="1">Optimizacijski_problem!$D$10</definedName>
    <definedName name="solver_lhs112" localSheetId="2" hidden="1">Optimizacijski_problem!$E$10</definedName>
    <definedName name="solver_lhs113" localSheetId="2" hidden="1">Optimizacijski_problem!$E$10</definedName>
    <definedName name="solver_lhs114" localSheetId="2" hidden="1">Optimizacijski_problem!$F$10</definedName>
    <definedName name="solver_lhs115" localSheetId="2" hidden="1">Optimizacijski_problem!$F$10</definedName>
    <definedName name="solver_lhs116" localSheetId="2" hidden="1">Optimizacijski_problem!$G$10</definedName>
    <definedName name="solver_lhs117" localSheetId="2" hidden="1">Optimizacijski_problem!$G$10</definedName>
    <definedName name="solver_lhs118" localSheetId="2" hidden="1">Optimizacijski_problem!$AG$10</definedName>
    <definedName name="solver_lhs119" localSheetId="2" hidden="1">Optimizacijski_problem!$AH$10</definedName>
    <definedName name="solver_lhs12" localSheetId="2" hidden="1">Optimizacijski_problem!$F$4</definedName>
    <definedName name="solver_lhs120" localSheetId="2" hidden="1">Optimizacijski_problem!$I$11</definedName>
    <definedName name="solver_lhs121" localSheetId="2" hidden="1">Optimizacijski_problem!$I$11</definedName>
    <definedName name="solver_lhs122" localSheetId="2" hidden="1">Optimizacijski_problem!$L$11</definedName>
    <definedName name="solver_lhs123" localSheetId="2" hidden="1">Optimizacijski_problem!$N$11</definedName>
    <definedName name="solver_lhs124" localSheetId="2" hidden="1">Optimizacijski_problem!$N$11</definedName>
    <definedName name="solver_lhs125" localSheetId="2" hidden="1">Optimizacijski_problem!$Q$11</definedName>
    <definedName name="solver_lhs126" localSheetId="2" hidden="1">Optimizacijski_problem!$Q$11</definedName>
    <definedName name="solver_lhs127" localSheetId="2" hidden="1">Optimizacijski_problem!$D$11</definedName>
    <definedName name="solver_lhs128" localSheetId="2" hidden="1">Optimizacijski_problem!$D$11</definedName>
    <definedName name="solver_lhs129" localSheetId="2" hidden="1">Optimizacijski_problem!$E$11</definedName>
    <definedName name="solver_lhs13" localSheetId="2" hidden="1">Optimizacijski_problem!$F$4</definedName>
    <definedName name="solver_lhs130" localSheetId="2" hidden="1">Optimizacijski_problem!$E$11</definedName>
    <definedName name="solver_lhs131" localSheetId="2" hidden="1">Optimizacijski_problem!$F$11</definedName>
    <definedName name="solver_lhs132" localSheetId="2" hidden="1">Optimizacijski_problem!$F$11</definedName>
    <definedName name="solver_lhs133" localSheetId="2" hidden="1">Optimizacijski_problem!$G$11</definedName>
    <definedName name="solver_lhs134" localSheetId="2" hidden="1">Optimizacijski_problem!$G$11</definedName>
    <definedName name="solver_lhs135" localSheetId="2" hidden="1">Optimizacijski_problem!$AG$11</definedName>
    <definedName name="solver_lhs136" localSheetId="2" hidden="1">Optimizacijski_problem!$AH$11</definedName>
    <definedName name="solver_lhs137" localSheetId="2" hidden="1">Optimizacijski_problem!$I$12</definedName>
    <definedName name="solver_lhs138" localSheetId="2" hidden="1">Optimizacijski_problem!$I$12</definedName>
    <definedName name="solver_lhs139" localSheetId="2" hidden="1">Optimizacijski_problem!$L$12</definedName>
    <definedName name="solver_lhs14" localSheetId="2" hidden="1">Optimizacijski_problem!$G$4</definedName>
    <definedName name="solver_lhs140" localSheetId="2" hidden="1">Optimizacijski_problem!$N$12</definedName>
    <definedName name="solver_lhs141" localSheetId="2" hidden="1">Optimizacijski_problem!$N$12</definedName>
    <definedName name="solver_lhs142" localSheetId="2" hidden="1">Optimizacijski_problem!$Q$12</definedName>
    <definedName name="solver_lhs143" localSheetId="2" hidden="1">Optimizacijski_problem!$Q$12</definedName>
    <definedName name="solver_lhs144" localSheetId="2" hidden="1">Optimizacijski_problem!$D$12</definedName>
    <definedName name="solver_lhs145" localSheetId="2" hidden="1">Optimizacijski_problem!$D$12</definedName>
    <definedName name="solver_lhs146" localSheetId="2" hidden="1">Optimizacijski_problem!$E$12</definedName>
    <definedName name="solver_lhs147" localSheetId="2" hidden="1">Optimizacijski_problem!$E$12</definedName>
    <definedName name="solver_lhs148" localSheetId="2" hidden="1">Optimizacijski_problem!$F$12</definedName>
    <definedName name="solver_lhs149" localSheetId="2" hidden="1">Optimizacijski_problem!$F$12</definedName>
    <definedName name="solver_lhs15" localSheetId="2" hidden="1">Optimizacijski_problem!$G$4</definedName>
    <definedName name="solver_lhs150" localSheetId="2" hidden="1">Optimizacijski_problem!$G$12</definedName>
    <definedName name="solver_lhs151" localSheetId="2" hidden="1">Optimizacijski_problem!$G$12</definedName>
    <definedName name="solver_lhs152" localSheetId="2" hidden="1">Optimizacijski_problem!$AG$12</definedName>
    <definedName name="solver_lhs153" localSheetId="2" hidden="1">Optimizacijski_problem!$AH$12</definedName>
    <definedName name="solver_lhs154" localSheetId="2" hidden="1">Optimizacijski_problem!$L$5</definedName>
    <definedName name="solver_lhs155" localSheetId="2" hidden="1">Optimizacijski_problem!$Q$6</definedName>
    <definedName name="solver_lhs156" localSheetId="2" hidden="1">Optimizacijski_problem!$N$6</definedName>
    <definedName name="solver_lhs157" localSheetId="2" hidden="1">Optimizacijski_problem!$N$5</definedName>
    <definedName name="solver_lhs158" localSheetId="2" hidden="1">Optimizacijski_problem!$Q$8</definedName>
    <definedName name="solver_lhs159" localSheetId="2" hidden="1">Optimizacijski_problem!$Q$8</definedName>
    <definedName name="solver_lhs16" localSheetId="2" hidden="1">Optimizacijski_problem!$AG$4</definedName>
    <definedName name="solver_lhs160" localSheetId="2" hidden="1">Optimizacijski_problem!$N$8</definedName>
    <definedName name="solver_lhs161" localSheetId="2" hidden="1">Optimizacijski_problem!$N$6</definedName>
    <definedName name="solver_lhs162" localSheetId="2" hidden="1">Optimizacijski_problem!$Q$13</definedName>
    <definedName name="solver_lhs163" localSheetId="2" hidden="1">Optimizacijski_problem!$N$8</definedName>
    <definedName name="solver_lhs164" localSheetId="2" hidden="1">Optimizacijski_problem!$Q$13</definedName>
    <definedName name="solver_lhs165" localSheetId="2" hidden="1">Optimizacijski_problem!$I$4</definedName>
    <definedName name="solver_lhs166" localSheetId="2" hidden="1">Optimizacijski_problem!$Q$4</definedName>
    <definedName name="solver_lhs167" localSheetId="2" hidden="1">Optimizacijski_problem!$Q$4</definedName>
    <definedName name="solver_lhs168" localSheetId="2" hidden="1">Optimizacijski_problem!$N$4</definedName>
    <definedName name="solver_lhs169" localSheetId="2" hidden="1">Optimizacijski_problem!$L$4</definedName>
    <definedName name="solver_lhs17" localSheetId="2" hidden="1">Optimizacijski_problem!$AH$4</definedName>
    <definedName name="solver_lhs170" localSheetId="2" hidden="1">Optimizacijski_problem!$N$4</definedName>
    <definedName name="solver_lhs171" localSheetId="2" hidden="1">Optimizacijski_problem!#REF!</definedName>
    <definedName name="solver_lhs172" localSheetId="2" hidden="1">Optimizacijski_problem!$I$13</definedName>
    <definedName name="solver_lhs173" localSheetId="2" hidden="1">Optimizacijski_problem!$I$13</definedName>
    <definedName name="solver_lhs174" localSheetId="2" hidden="1">Optimizacijski_problem!$L$13</definedName>
    <definedName name="solver_lhs175" localSheetId="2" hidden="1">Optimizacijski_problem!$N$13</definedName>
    <definedName name="solver_lhs176" localSheetId="2" hidden="1">Optimizacijski_problem!$N$13</definedName>
    <definedName name="solver_lhs177" localSheetId="2" hidden="1">Optimizacijski_problem!$Q$13</definedName>
    <definedName name="solver_lhs178" localSheetId="2" hidden="1">Optimizacijski_problem!$Q$13</definedName>
    <definedName name="solver_lhs179" localSheetId="2" hidden="1">Optimizacijski_problem!$D$13</definedName>
    <definedName name="solver_lhs18" localSheetId="2" hidden="1">Optimizacijski_problem!$I$5</definedName>
    <definedName name="solver_lhs180" localSheetId="2" hidden="1">Optimizacijski_problem!$D$13</definedName>
    <definedName name="solver_lhs181" localSheetId="2" hidden="1">Optimizacijski_problem!$E$13</definedName>
    <definedName name="solver_lhs182" localSheetId="2" hidden="1">Optimizacijski_problem!$E$13</definedName>
    <definedName name="solver_lhs183" localSheetId="2" hidden="1">Optimizacijski_problem!$F$13</definedName>
    <definedName name="solver_lhs184" localSheetId="2" hidden="1">Optimizacijski_problem!$F$13</definedName>
    <definedName name="solver_lhs185" localSheetId="2" hidden="1">Optimizacijski_problem!$G$13</definedName>
    <definedName name="solver_lhs186" localSheetId="2" hidden="1">Optimizacijski_problem!$G$13</definedName>
    <definedName name="solver_lhs187" localSheetId="2" hidden="1">Optimizacijski_problem!$AG$13</definedName>
    <definedName name="solver_lhs188" localSheetId="2" hidden="1">Optimizacijski_problem!$AH$13</definedName>
    <definedName name="solver_lhs189" localSheetId="2" hidden="1">Optimizacijski_problem!#REF!</definedName>
    <definedName name="solver_lhs19" localSheetId="2" hidden="1">Optimizacijski_problem!$I$5</definedName>
    <definedName name="solver_lhs190" localSheetId="2" hidden="1">Optimizacijski_problem!#REF!</definedName>
    <definedName name="solver_lhs2" localSheetId="0" hidden="1">Analiza_okvira_LC_kombinirani!#REF!</definedName>
    <definedName name="solver_lhs2" localSheetId="2" hidden="1">Optimizacijski_problem!$I$4</definedName>
    <definedName name="solver_lhs20" localSheetId="2" hidden="1">Optimizacijski_problem!$L$5</definedName>
    <definedName name="solver_lhs21" localSheetId="2" hidden="1">Optimizacijski_problem!$N$5</definedName>
    <definedName name="solver_lhs22" localSheetId="2" hidden="1">Optimizacijski_problem!$N$5</definedName>
    <definedName name="solver_lhs23" localSheetId="2" hidden="1">Optimizacijski_problem!$Q$5</definedName>
    <definedName name="solver_lhs24" localSheetId="2" hidden="1">Optimizacijski_problem!$Q$5</definedName>
    <definedName name="solver_lhs25" localSheetId="2" hidden="1">Optimizacijski_problem!$D$5</definedName>
    <definedName name="solver_lhs26" localSheetId="2" hidden="1">Optimizacijski_problem!$D$5</definedName>
    <definedName name="solver_lhs27" localSheetId="2" hidden="1">Optimizacijski_problem!$E$5</definedName>
    <definedName name="solver_lhs28" localSheetId="2" hidden="1">Optimizacijski_problem!$E$5</definedName>
    <definedName name="solver_lhs29" localSheetId="2" hidden="1">Optimizacijski_problem!$F$5</definedName>
    <definedName name="solver_lhs3" localSheetId="0" hidden="1">Analiza_okvira_LC_kombinirani!#REF!</definedName>
    <definedName name="solver_lhs3" localSheetId="2" hidden="1">Optimizacijski_problem!$L$4</definedName>
    <definedName name="solver_lhs30" localSheetId="2" hidden="1">Optimizacijski_problem!$F$5</definedName>
    <definedName name="solver_lhs31" localSheetId="2" hidden="1">Optimizacijski_problem!$G$5</definedName>
    <definedName name="solver_lhs32" localSheetId="2" hidden="1">Optimizacijski_problem!$G$5</definedName>
    <definedName name="solver_lhs33" localSheetId="2" hidden="1">Optimizacijski_problem!$AG$5</definedName>
    <definedName name="solver_lhs34" localSheetId="2" hidden="1">Optimizacijski_problem!$AH$5</definedName>
    <definedName name="solver_lhs35" localSheetId="2" hidden="1">Optimizacijski_problem!$I$6</definedName>
    <definedName name="solver_lhs36" localSheetId="2" hidden="1">Optimizacijski_problem!$I$6</definedName>
    <definedName name="solver_lhs37" localSheetId="2" hidden="1">Optimizacijski_problem!$L$6</definedName>
    <definedName name="solver_lhs38" localSheetId="2" hidden="1">Optimizacijski_problem!$N$6</definedName>
    <definedName name="solver_lhs39" localSheetId="2" hidden="1">Optimizacijski_problem!$N$6</definedName>
    <definedName name="solver_lhs4" localSheetId="0" hidden="1">Analiza_okvira_LC_kombinirani!#REF!</definedName>
    <definedName name="solver_lhs4" localSheetId="2" hidden="1">Optimizacijski_problem!$N$4</definedName>
    <definedName name="solver_lhs40" localSheetId="2" hidden="1">Optimizacijski_problem!$Q$6</definedName>
    <definedName name="solver_lhs41" localSheetId="2" hidden="1">Optimizacijski_problem!$Q$6</definedName>
    <definedName name="solver_lhs42" localSheetId="2" hidden="1">Optimizacijski_problem!$D$6</definedName>
    <definedName name="solver_lhs43" localSheetId="2" hidden="1">Optimizacijski_problem!$D$6</definedName>
    <definedName name="solver_lhs44" localSheetId="2" hidden="1">Optimizacijski_problem!$E$6</definedName>
    <definedName name="solver_lhs45" localSheetId="2" hidden="1">Optimizacijski_problem!$E$6</definedName>
    <definedName name="solver_lhs46" localSheetId="2" hidden="1">Optimizacijski_problem!$F$6</definedName>
    <definedName name="solver_lhs47" localSheetId="2" hidden="1">Optimizacijski_problem!$F$6</definedName>
    <definedName name="solver_lhs48" localSheetId="2" hidden="1">Optimizacijski_problem!$G$6</definedName>
    <definedName name="solver_lhs49" localSheetId="2" hidden="1">Optimizacijski_problem!$G$6</definedName>
    <definedName name="solver_lhs5" localSheetId="0" hidden="1">Analiza_okvira_LC_kombinirani!#REF!</definedName>
    <definedName name="solver_lhs5" localSheetId="2" hidden="1">Optimizacijski_problem!$N$4</definedName>
    <definedName name="solver_lhs50" localSheetId="2" hidden="1">Optimizacijski_problem!$AG$6</definedName>
    <definedName name="solver_lhs51" localSheetId="2" hidden="1">Optimizacijski_problem!$AH$6</definedName>
    <definedName name="solver_lhs52" localSheetId="2" hidden="1">Optimizacijski_problem!$I$7</definedName>
    <definedName name="solver_lhs53" localSheetId="2" hidden="1">Optimizacijski_problem!$I$7</definedName>
    <definedName name="solver_lhs54" localSheetId="2" hidden="1">Optimizacijski_problem!$L$7</definedName>
    <definedName name="solver_lhs55" localSheetId="2" hidden="1">Optimizacijski_problem!$N$7</definedName>
    <definedName name="solver_lhs56" localSheetId="2" hidden="1">Optimizacijski_problem!$N$7</definedName>
    <definedName name="solver_lhs57" localSheetId="2" hidden="1">Optimizacijski_problem!$Q$7</definedName>
    <definedName name="solver_lhs58" localSheetId="2" hidden="1">Optimizacijski_problem!$Q$7</definedName>
    <definedName name="solver_lhs59" localSheetId="2" hidden="1">Optimizacijski_problem!$D$7</definedName>
    <definedName name="solver_lhs6" localSheetId="0" hidden="1">Analiza_okvira_LC_kombinirani!#REF!</definedName>
    <definedName name="solver_lhs6" localSheetId="2" hidden="1">Optimizacijski_problem!$Q$4</definedName>
    <definedName name="solver_lhs60" localSheetId="2" hidden="1">Optimizacijski_problem!$D$7</definedName>
    <definedName name="solver_lhs61" localSheetId="2" hidden="1">Optimizacijski_problem!$E$7</definedName>
    <definedName name="solver_lhs62" localSheetId="2" hidden="1">Optimizacijski_problem!$E$7</definedName>
    <definedName name="solver_lhs63" localSheetId="2" hidden="1">Optimizacijski_problem!$F$7</definedName>
    <definedName name="solver_lhs64" localSheetId="2" hidden="1">Optimizacijski_problem!$F$7</definedName>
    <definedName name="solver_lhs65" localSheetId="2" hidden="1">Optimizacijski_problem!$G$7</definedName>
    <definedName name="solver_lhs66" localSheetId="2" hidden="1">Optimizacijski_problem!$G$7</definedName>
    <definedName name="solver_lhs67" localSheetId="2" hidden="1">Optimizacijski_problem!$AG$7</definedName>
    <definedName name="solver_lhs68" localSheetId="2" hidden="1">Optimizacijski_problem!$AH$7</definedName>
    <definedName name="solver_lhs69" localSheetId="2" hidden="1">Optimizacijski_problem!$I$8</definedName>
    <definedName name="solver_lhs7" localSheetId="2" hidden="1">Optimizacijski_problem!$Q$4</definedName>
    <definedName name="solver_lhs70" localSheetId="2" hidden="1">Optimizacijski_problem!$I$8</definedName>
    <definedName name="solver_lhs71" localSheetId="2" hidden="1">Optimizacijski_problem!$L$8</definedName>
    <definedName name="solver_lhs72" localSheetId="2" hidden="1">Optimizacijski_problem!$N$8</definedName>
    <definedName name="solver_lhs73" localSheetId="2" hidden="1">Optimizacijski_problem!$N$8</definedName>
    <definedName name="solver_lhs74" localSheetId="2" hidden="1">Optimizacijski_problem!$Q$8</definedName>
    <definedName name="solver_lhs75" localSheetId="2" hidden="1">Optimizacijski_problem!$Q$8</definedName>
    <definedName name="solver_lhs76" localSheetId="2" hidden="1">Optimizacijski_problem!$D$8</definedName>
    <definedName name="solver_lhs77" localSheetId="2" hidden="1">Optimizacijski_problem!$D$8</definedName>
    <definedName name="solver_lhs78" localSheetId="2" hidden="1">Optimizacijski_problem!$E$8</definedName>
    <definedName name="solver_lhs79" localSheetId="2" hidden="1">Optimizacijski_problem!$E$8</definedName>
    <definedName name="solver_lhs8" localSheetId="2" hidden="1">Optimizacijski_problem!$D$4</definedName>
    <definedName name="solver_lhs80" localSheetId="2" hidden="1">Optimizacijski_problem!$F$8</definedName>
    <definedName name="solver_lhs81" localSheetId="2" hidden="1">Optimizacijski_problem!$F$8</definedName>
    <definedName name="solver_lhs82" localSheetId="2" hidden="1">Optimizacijski_problem!$G$8</definedName>
    <definedName name="solver_lhs83" localSheetId="2" hidden="1">Optimizacijski_problem!$G$8</definedName>
    <definedName name="solver_lhs84" localSheetId="2" hidden="1">Optimizacijski_problem!$AG$8</definedName>
    <definedName name="solver_lhs85" localSheetId="2" hidden="1">Optimizacijski_problem!$AH$8</definedName>
    <definedName name="solver_lhs86" localSheetId="2" hidden="1">Optimizacijski_problem!$I$9</definedName>
    <definedName name="solver_lhs87" localSheetId="2" hidden="1">Optimizacijski_problem!$I$9</definedName>
    <definedName name="solver_lhs88" localSheetId="2" hidden="1">Optimizacijski_problem!$L$9</definedName>
    <definedName name="solver_lhs89" localSheetId="2" hidden="1">Optimizacijski_problem!$N$9</definedName>
    <definedName name="solver_lhs9" localSheetId="2" hidden="1">Optimizacijski_problem!$D$4</definedName>
    <definedName name="solver_lhs90" localSheetId="2" hidden="1">Optimizacijski_problem!$N$9</definedName>
    <definedName name="solver_lhs91" localSheetId="2" hidden="1">Optimizacijski_problem!$Q$9</definedName>
    <definedName name="solver_lhs92" localSheetId="2" hidden="1">Optimizacijski_problem!$Q$9</definedName>
    <definedName name="solver_lhs93" localSheetId="2" hidden="1">Optimizacijski_problem!$D$9</definedName>
    <definedName name="solver_lhs94" localSheetId="2" hidden="1">Optimizacijski_problem!$D$9</definedName>
    <definedName name="solver_lhs95" localSheetId="2" hidden="1">Optimizacijski_problem!$E$9</definedName>
    <definedName name="solver_lhs96" localSheetId="2" hidden="1">Optimizacijski_problem!$E$9</definedName>
    <definedName name="solver_lhs97" localSheetId="2" hidden="1">Optimizacijski_problem!$F$9</definedName>
    <definedName name="solver_lhs98" localSheetId="2" hidden="1">Optimizacijski_problem!$F$9</definedName>
    <definedName name="solver_lhs99" localSheetId="2" hidden="1">Optimizacijski_problem!$G$9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153</definedName>
    <definedName name="solver_nwt" localSheetId="0" hidden="1">1</definedName>
    <definedName name="solver_nwt" localSheetId="2" hidden="1">1</definedName>
    <definedName name="solver_opt" localSheetId="0" hidden="1">Analiza_okvira_LC_kombinirani!$L$70</definedName>
    <definedName name="solver_opt" localSheetId="2" hidden="1">Optimizacijski_problem!$H$15</definedName>
    <definedName name="solver_pre" localSheetId="0" hidden="1">0.000001</definedName>
    <definedName name="solver_pre" localSheetId="2" hidden="1">0.000001</definedName>
    <definedName name="solver_rbv" localSheetId="0" hidden="1">1</definedName>
    <definedName name="solver_rbv" localSheetId="2" hidden="1">1</definedName>
    <definedName name="solver_rel1" localSheetId="0" hidden="1">2</definedName>
    <definedName name="solver_rel1" localSheetId="2" hidden="1">3</definedName>
    <definedName name="solver_rel10" localSheetId="2" hidden="1">3</definedName>
    <definedName name="solver_rel100" localSheetId="2" hidden="1">1</definedName>
    <definedName name="solver_rel101" localSheetId="2" hidden="1">1</definedName>
    <definedName name="solver_rel102" localSheetId="2" hidden="1">1</definedName>
    <definedName name="solver_rel103" localSheetId="2" hidden="1">3</definedName>
    <definedName name="solver_rel104" localSheetId="2" hidden="1">1</definedName>
    <definedName name="solver_rel105" localSheetId="2" hidden="1">1</definedName>
    <definedName name="solver_rel106" localSheetId="2" hidden="1">3</definedName>
    <definedName name="solver_rel107" localSheetId="2" hidden="1">1</definedName>
    <definedName name="solver_rel108" localSheetId="2" hidden="1">3</definedName>
    <definedName name="solver_rel109" localSheetId="2" hidden="1">1</definedName>
    <definedName name="solver_rel11" localSheetId="2" hidden="1">1</definedName>
    <definedName name="solver_rel110" localSheetId="2" hidden="1">3</definedName>
    <definedName name="solver_rel111" localSheetId="2" hidden="1">1</definedName>
    <definedName name="solver_rel112" localSheetId="2" hidden="1">3</definedName>
    <definedName name="solver_rel113" localSheetId="2" hidden="1">1</definedName>
    <definedName name="solver_rel114" localSheetId="2" hidden="1">3</definedName>
    <definedName name="solver_rel115" localSheetId="2" hidden="1">1</definedName>
    <definedName name="solver_rel116" localSheetId="2" hidden="1">3</definedName>
    <definedName name="solver_rel117" localSheetId="2" hidden="1">1</definedName>
    <definedName name="solver_rel118" localSheetId="2" hidden="1">1</definedName>
    <definedName name="solver_rel119" localSheetId="2" hidden="1">1</definedName>
    <definedName name="solver_rel12" localSheetId="2" hidden="1">3</definedName>
    <definedName name="solver_rel120" localSheetId="2" hidden="1">3</definedName>
    <definedName name="solver_rel121" localSheetId="2" hidden="1">1</definedName>
    <definedName name="solver_rel122" localSheetId="2" hidden="1">1</definedName>
    <definedName name="solver_rel123" localSheetId="2" hidden="1">3</definedName>
    <definedName name="solver_rel124" localSheetId="2" hidden="1">1</definedName>
    <definedName name="solver_rel125" localSheetId="2" hidden="1">3</definedName>
    <definedName name="solver_rel126" localSheetId="2" hidden="1">1</definedName>
    <definedName name="solver_rel127" localSheetId="2" hidden="1">3</definedName>
    <definedName name="solver_rel128" localSheetId="2" hidden="1">1</definedName>
    <definedName name="solver_rel129" localSheetId="2" hidden="1">3</definedName>
    <definedName name="solver_rel13" localSheetId="2" hidden="1">1</definedName>
    <definedName name="solver_rel130" localSheetId="2" hidden="1">1</definedName>
    <definedName name="solver_rel131" localSheetId="2" hidden="1">3</definedName>
    <definedName name="solver_rel132" localSheetId="2" hidden="1">1</definedName>
    <definedName name="solver_rel133" localSheetId="2" hidden="1">3</definedName>
    <definedName name="solver_rel134" localSheetId="2" hidden="1">1</definedName>
    <definedName name="solver_rel135" localSheetId="2" hidden="1">1</definedName>
    <definedName name="solver_rel136" localSheetId="2" hidden="1">1</definedName>
    <definedName name="solver_rel137" localSheetId="2" hidden="1">3</definedName>
    <definedName name="solver_rel138" localSheetId="2" hidden="1">1</definedName>
    <definedName name="solver_rel139" localSheetId="2" hidden="1">1</definedName>
    <definedName name="solver_rel14" localSheetId="2" hidden="1">3</definedName>
    <definedName name="solver_rel140" localSheetId="2" hidden="1">3</definedName>
    <definedName name="solver_rel141" localSheetId="2" hidden="1">1</definedName>
    <definedName name="solver_rel142" localSheetId="2" hidden="1">3</definedName>
    <definedName name="solver_rel143" localSheetId="2" hidden="1">1</definedName>
    <definedName name="solver_rel144" localSheetId="2" hidden="1">3</definedName>
    <definedName name="solver_rel145" localSheetId="2" hidden="1">1</definedName>
    <definedName name="solver_rel146" localSheetId="2" hidden="1">3</definedName>
    <definedName name="solver_rel147" localSheetId="2" hidden="1">1</definedName>
    <definedName name="solver_rel148" localSheetId="2" hidden="1">3</definedName>
    <definedName name="solver_rel149" localSheetId="2" hidden="1">1</definedName>
    <definedName name="solver_rel15" localSheetId="2" hidden="1">1</definedName>
    <definedName name="solver_rel150" localSheetId="2" hidden="1">3</definedName>
    <definedName name="solver_rel151" localSheetId="2" hidden="1">1</definedName>
    <definedName name="solver_rel152" localSheetId="2" hidden="1">1</definedName>
    <definedName name="solver_rel153" localSheetId="2" hidden="1">1</definedName>
    <definedName name="solver_rel154" localSheetId="2" hidden="1">1</definedName>
    <definedName name="solver_rel155" localSheetId="2" hidden="1">3</definedName>
    <definedName name="solver_rel156" localSheetId="2" hidden="1">1</definedName>
    <definedName name="solver_rel157" localSheetId="2" hidden="1">3</definedName>
    <definedName name="solver_rel158" localSheetId="2" hidden="1">1</definedName>
    <definedName name="solver_rel159" localSheetId="2" hidden="1">3</definedName>
    <definedName name="solver_rel16" localSheetId="2" hidden="1">1</definedName>
    <definedName name="solver_rel160" localSheetId="2" hidden="1">1</definedName>
    <definedName name="solver_rel161" localSheetId="2" hidden="1">3</definedName>
    <definedName name="solver_rel162" localSheetId="2" hidden="1">1</definedName>
    <definedName name="solver_rel163" localSheetId="2" hidden="1">3</definedName>
    <definedName name="solver_rel164" localSheetId="2" hidden="1">3</definedName>
    <definedName name="solver_rel165" localSheetId="2" hidden="1">1</definedName>
    <definedName name="solver_rel166" localSheetId="2" hidden="1">1</definedName>
    <definedName name="solver_rel167" localSheetId="2" hidden="1">3</definedName>
    <definedName name="solver_rel168" localSheetId="2" hidden="1">1</definedName>
    <definedName name="solver_rel169" localSheetId="2" hidden="1">1</definedName>
    <definedName name="solver_rel17" localSheetId="2" hidden="1">1</definedName>
    <definedName name="solver_rel170" localSheetId="2" hidden="1">3</definedName>
    <definedName name="solver_rel171" localSheetId="2" hidden="1">1</definedName>
    <definedName name="solver_rel172" localSheetId="2" hidden="1">3</definedName>
    <definedName name="solver_rel173" localSheetId="2" hidden="1">1</definedName>
    <definedName name="solver_rel174" localSheetId="2" hidden="1">1</definedName>
    <definedName name="solver_rel175" localSheetId="2" hidden="1">3</definedName>
    <definedName name="solver_rel176" localSheetId="2" hidden="1">1</definedName>
    <definedName name="solver_rel177" localSheetId="2" hidden="1">3</definedName>
    <definedName name="solver_rel178" localSheetId="2" hidden="1">1</definedName>
    <definedName name="solver_rel179" localSheetId="2" hidden="1">3</definedName>
    <definedName name="solver_rel18" localSheetId="2" hidden="1">3</definedName>
    <definedName name="solver_rel180" localSheetId="2" hidden="1">1</definedName>
    <definedName name="solver_rel181" localSheetId="2" hidden="1">3</definedName>
    <definedName name="solver_rel182" localSheetId="2" hidden="1">1</definedName>
    <definedName name="solver_rel183" localSheetId="2" hidden="1">3</definedName>
    <definedName name="solver_rel184" localSheetId="2" hidden="1">1</definedName>
    <definedName name="solver_rel185" localSheetId="2" hidden="1">3</definedName>
    <definedName name="solver_rel186" localSheetId="2" hidden="1">1</definedName>
    <definedName name="solver_rel187" localSheetId="2" hidden="1">1</definedName>
    <definedName name="solver_rel188" localSheetId="2" hidden="1">1</definedName>
    <definedName name="solver_rel189" localSheetId="2" hidden="1">1</definedName>
    <definedName name="solver_rel19" localSheetId="2" hidden="1">1</definedName>
    <definedName name="solver_rel190" localSheetId="2" hidden="1">1</definedName>
    <definedName name="solver_rel2" localSheetId="0" hidden="1">2</definedName>
    <definedName name="solver_rel2" localSheetId="2" hidden="1">1</definedName>
    <definedName name="solver_rel20" localSheetId="2" hidden="1">1</definedName>
    <definedName name="solver_rel21" localSheetId="2" hidden="1">3</definedName>
    <definedName name="solver_rel22" localSheetId="2" hidden="1">1</definedName>
    <definedName name="solver_rel23" localSheetId="2" hidden="1">3</definedName>
    <definedName name="solver_rel24" localSheetId="2" hidden="1">1</definedName>
    <definedName name="solver_rel25" localSheetId="2" hidden="1">3</definedName>
    <definedName name="solver_rel26" localSheetId="2" hidden="1">1</definedName>
    <definedName name="solver_rel27" localSheetId="2" hidden="1">3</definedName>
    <definedName name="solver_rel28" localSheetId="2" hidden="1">1</definedName>
    <definedName name="solver_rel29" localSheetId="2" hidden="1">3</definedName>
    <definedName name="solver_rel3" localSheetId="0" hidden="1">2</definedName>
    <definedName name="solver_rel3" localSheetId="2" hidden="1">1</definedName>
    <definedName name="solver_rel30" localSheetId="2" hidden="1">1</definedName>
    <definedName name="solver_rel31" localSheetId="2" hidden="1">3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3</definedName>
    <definedName name="solver_rel36" localSheetId="2" hidden="1">1</definedName>
    <definedName name="solver_rel37" localSheetId="2" hidden="1">1</definedName>
    <definedName name="solver_rel38" localSheetId="2" hidden="1">3</definedName>
    <definedName name="solver_rel39" localSheetId="2" hidden="1">1</definedName>
    <definedName name="solver_rel4" localSheetId="0" hidden="1">2</definedName>
    <definedName name="solver_rel4" localSheetId="2" hidden="1">3</definedName>
    <definedName name="solver_rel40" localSheetId="2" hidden="1">3</definedName>
    <definedName name="solver_rel41" localSheetId="2" hidden="1">1</definedName>
    <definedName name="solver_rel42" localSheetId="2" hidden="1">3</definedName>
    <definedName name="solver_rel43" localSheetId="2" hidden="1">1</definedName>
    <definedName name="solver_rel44" localSheetId="2" hidden="1">3</definedName>
    <definedName name="solver_rel45" localSheetId="2" hidden="1">1</definedName>
    <definedName name="solver_rel46" localSheetId="2" hidden="1">3</definedName>
    <definedName name="solver_rel47" localSheetId="2" hidden="1">1</definedName>
    <definedName name="solver_rel48" localSheetId="2" hidden="1">3</definedName>
    <definedName name="solver_rel49" localSheetId="2" hidden="1">1</definedName>
    <definedName name="solver_rel5" localSheetId="0" hidden="1">2</definedName>
    <definedName name="solver_rel5" localSheetId="2" hidden="1">1</definedName>
    <definedName name="solver_rel50" localSheetId="2" hidden="1">1</definedName>
    <definedName name="solver_rel51" localSheetId="2" hidden="1">1</definedName>
    <definedName name="solver_rel52" localSheetId="2" hidden="1">3</definedName>
    <definedName name="solver_rel53" localSheetId="2" hidden="1">1</definedName>
    <definedName name="solver_rel54" localSheetId="2" hidden="1">1</definedName>
    <definedName name="solver_rel55" localSheetId="2" hidden="1">3</definedName>
    <definedName name="solver_rel56" localSheetId="2" hidden="1">1</definedName>
    <definedName name="solver_rel57" localSheetId="2" hidden="1">3</definedName>
    <definedName name="solver_rel58" localSheetId="2" hidden="1">1</definedName>
    <definedName name="solver_rel59" localSheetId="2" hidden="1">3</definedName>
    <definedName name="solver_rel6" localSheetId="0" hidden="1">2</definedName>
    <definedName name="solver_rel6" localSheetId="2" hidden="1">3</definedName>
    <definedName name="solver_rel60" localSheetId="2" hidden="1">1</definedName>
    <definedName name="solver_rel61" localSheetId="2" hidden="1">3</definedName>
    <definedName name="solver_rel62" localSheetId="2" hidden="1">1</definedName>
    <definedName name="solver_rel63" localSheetId="2" hidden="1">3</definedName>
    <definedName name="solver_rel64" localSheetId="2" hidden="1">1</definedName>
    <definedName name="solver_rel65" localSheetId="2" hidden="1">3</definedName>
    <definedName name="solver_rel66" localSheetId="2" hidden="1">1</definedName>
    <definedName name="solver_rel67" localSheetId="2" hidden="1">1</definedName>
    <definedName name="solver_rel68" localSheetId="2" hidden="1">1</definedName>
    <definedName name="solver_rel69" localSheetId="2" hidden="1">3</definedName>
    <definedName name="solver_rel7" localSheetId="2" hidden="1">1</definedName>
    <definedName name="solver_rel70" localSheetId="2" hidden="1">1</definedName>
    <definedName name="solver_rel71" localSheetId="2" hidden="1">1</definedName>
    <definedName name="solver_rel72" localSheetId="2" hidden="1">3</definedName>
    <definedName name="solver_rel73" localSheetId="2" hidden="1">1</definedName>
    <definedName name="solver_rel74" localSheetId="2" hidden="1">3</definedName>
    <definedName name="solver_rel75" localSheetId="2" hidden="1">1</definedName>
    <definedName name="solver_rel76" localSheetId="2" hidden="1">3</definedName>
    <definedName name="solver_rel77" localSheetId="2" hidden="1">1</definedName>
    <definedName name="solver_rel78" localSheetId="2" hidden="1">3</definedName>
    <definedName name="solver_rel79" localSheetId="2" hidden="1">1</definedName>
    <definedName name="solver_rel8" localSheetId="2" hidden="1">3</definedName>
    <definedName name="solver_rel80" localSheetId="2" hidden="1">3</definedName>
    <definedName name="solver_rel81" localSheetId="2" hidden="1">1</definedName>
    <definedName name="solver_rel82" localSheetId="2" hidden="1">3</definedName>
    <definedName name="solver_rel83" localSheetId="2" hidden="1">1</definedName>
    <definedName name="solver_rel84" localSheetId="2" hidden="1">1</definedName>
    <definedName name="solver_rel85" localSheetId="2" hidden="1">1</definedName>
    <definedName name="solver_rel86" localSheetId="2" hidden="1">3</definedName>
    <definedName name="solver_rel87" localSheetId="2" hidden="1">1</definedName>
    <definedName name="solver_rel88" localSheetId="2" hidden="1">1</definedName>
    <definedName name="solver_rel89" localSheetId="2" hidden="1">3</definedName>
    <definedName name="solver_rel9" localSheetId="2" hidden="1">1</definedName>
    <definedName name="solver_rel90" localSheetId="2" hidden="1">1</definedName>
    <definedName name="solver_rel91" localSheetId="2" hidden="1">3</definedName>
    <definedName name="solver_rel92" localSheetId="2" hidden="1">1</definedName>
    <definedName name="solver_rel93" localSheetId="2" hidden="1">3</definedName>
    <definedName name="solver_rel94" localSheetId="2" hidden="1">1</definedName>
    <definedName name="solver_rel95" localSheetId="2" hidden="1">3</definedName>
    <definedName name="solver_rel96" localSheetId="2" hidden="1">1</definedName>
    <definedName name="solver_rel97" localSheetId="2" hidden="1">3</definedName>
    <definedName name="solver_rel98" localSheetId="2" hidden="1">1</definedName>
    <definedName name="solver_rel99" localSheetId="2" hidden="1">3</definedName>
    <definedName name="solver_rhs1" localSheetId="0" hidden="1">Analiza_okvira_LC_kombinirani!$J$64</definedName>
    <definedName name="solver_rhs1" localSheetId="2" hidden="1">Optimizacijski_problem!$J$4</definedName>
    <definedName name="solver_rhs10" localSheetId="2" hidden="1">Optimizacijski_problem!$X$4</definedName>
    <definedName name="solver_rhs100" localSheetId="2" hidden="1">Optimizacijski_problem!$AE$9</definedName>
    <definedName name="solver_rhs101" localSheetId="2" hidden="1">Optimizacijski_problem!$AI$9</definedName>
    <definedName name="solver_rhs102" localSheetId="2" hidden="1">Optimizacijski_problem!$AI$9</definedName>
    <definedName name="solver_rhs103" localSheetId="2" hidden="1">Optimizacijski_problem!$J$10</definedName>
    <definedName name="solver_rhs104" localSheetId="2" hidden="1">Optimizacijski_problem!$K$10</definedName>
    <definedName name="solver_rhs105" localSheetId="2" hidden="1">Optimizacijski_problem!$M$10</definedName>
    <definedName name="solver_rhs106" localSheetId="2" hidden="1">Optimizacijski_problem!$O$10</definedName>
    <definedName name="solver_rhs107" localSheetId="2" hidden="1">Optimizacijski_problem!$P$10</definedName>
    <definedName name="solver_rhs108" localSheetId="2" hidden="1">Optimizacijski_problem!$R$10</definedName>
    <definedName name="solver_rhs109" localSheetId="2" hidden="1">Optimizacijski_problem!$S$10</definedName>
    <definedName name="solver_rhs11" localSheetId="2" hidden="1">Optimizacijski_problem!$Y$4</definedName>
    <definedName name="solver_rhs110" localSheetId="2" hidden="1">Optimizacijski_problem!$U$10</definedName>
    <definedName name="solver_rhs111" localSheetId="2" hidden="1">Optimizacijski_problem!$V$10</definedName>
    <definedName name="solver_rhs112" localSheetId="2" hidden="1">Optimizacijski_problem!$X$10</definedName>
    <definedName name="solver_rhs113" localSheetId="2" hidden="1">Optimizacijski_problem!$Y$10</definedName>
    <definedName name="solver_rhs114" localSheetId="2" hidden="1">Optimizacijski_problem!$AA$10</definedName>
    <definedName name="solver_rhs115" localSheetId="2" hidden="1">Optimizacijski_problem!$AB$10</definedName>
    <definedName name="solver_rhs116" localSheetId="2" hidden="1">Optimizacijski_problem!$AD$10</definedName>
    <definedName name="solver_rhs117" localSheetId="2" hidden="1">Optimizacijski_problem!$AE$10</definedName>
    <definedName name="solver_rhs118" localSheetId="2" hidden="1">Optimizacijski_problem!$AI$10</definedName>
    <definedName name="solver_rhs119" localSheetId="2" hidden="1">Optimizacijski_problem!$AI$10</definedName>
    <definedName name="solver_rhs12" localSheetId="2" hidden="1">Optimizacijski_problem!$AA$4</definedName>
    <definedName name="solver_rhs120" localSheetId="2" hidden="1">Optimizacijski_problem!$J$11</definedName>
    <definedName name="solver_rhs121" localSheetId="2" hidden="1">Optimizacijski_problem!$K$11</definedName>
    <definedName name="solver_rhs122" localSheetId="2" hidden="1">Optimizacijski_problem!$M$11</definedName>
    <definedName name="solver_rhs123" localSheetId="2" hidden="1">Optimizacijski_problem!$O$11</definedName>
    <definedName name="solver_rhs124" localSheetId="2" hidden="1">Optimizacijski_problem!$P$11</definedName>
    <definedName name="solver_rhs125" localSheetId="2" hidden="1">Optimizacijski_problem!$R$11</definedName>
    <definedName name="solver_rhs126" localSheetId="2" hidden="1">Optimizacijski_problem!$S$11</definedName>
    <definedName name="solver_rhs127" localSheetId="2" hidden="1">Optimizacijski_problem!$U$11</definedName>
    <definedName name="solver_rhs128" localSheetId="2" hidden="1">Optimizacijski_problem!$V$11</definedName>
    <definedName name="solver_rhs129" localSheetId="2" hidden="1">Optimizacijski_problem!$X$11</definedName>
    <definedName name="solver_rhs13" localSheetId="2" hidden="1">Optimizacijski_problem!$AB$4</definedName>
    <definedName name="solver_rhs130" localSheetId="2" hidden="1">Optimizacijski_problem!$Y$11</definedName>
    <definedName name="solver_rhs131" localSheetId="2" hidden="1">Optimizacijski_problem!$AA$11</definedName>
    <definedName name="solver_rhs132" localSheetId="2" hidden="1">Optimizacijski_problem!$AB$11</definedName>
    <definedName name="solver_rhs133" localSheetId="2" hidden="1">Optimizacijski_problem!$AD$11</definedName>
    <definedName name="solver_rhs134" localSheetId="2" hidden="1">Optimizacijski_problem!$AE$11</definedName>
    <definedName name="solver_rhs135" localSheetId="2" hidden="1">Optimizacijski_problem!$AI$11</definedName>
    <definedName name="solver_rhs136" localSheetId="2" hidden="1">Optimizacijski_problem!$AI$11</definedName>
    <definedName name="solver_rhs137" localSheetId="2" hidden="1">Optimizacijski_problem!$J$12</definedName>
    <definedName name="solver_rhs138" localSheetId="2" hidden="1">Optimizacijski_problem!$K$12</definedName>
    <definedName name="solver_rhs139" localSheetId="2" hidden="1">Optimizacijski_problem!$M$12</definedName>
    <definedName name="solver_rhs14" localSheetId="2" hidden="1">Optimizacijski_problem!$AD$4</definedName>
    <definedName name="solver_rhs140" localSheetId="2" hidden="1">Optimizacijski_problem!$O$12</definedName>
    <definedName name="solver_rhs141" localSheetId="2" hidden="1">Optimizacijski_problem!$P$12</definedName>
    <definedName name="solver_rhs142" localSheetId="2" hidden="1">Optimizacijski_problem!$R$12</definedName>
    <definedName name="solver_rhs143" localSheetId="2" hidden="1">Optimizacijski_problem!$S$12</definedName>
    <definedName name="solver_rhs144" localSheetId="2" hidden="1">Optimizacijski_problem!$U$12</definedName>
    <definedName name="solver_rhs145" localSheetId="2" hidden="1">Optimizacijski_problem!$V$12</definedName>
    <definedName name="solver_rhs146" localSheetId="2" hidden="1">Optimizacijski_problem!$X$12</definedName>
    <definedName name="solver_rhs147" localSheetId="2" hidden="1">Optimizacijski_problem!$Y$12</definedName>
    <definedName name="solver_rhs148" localSheetId="2" hidden="1">Optimizacijski_problem!$AA$12</definedName>
    <definedName name="solver_rhs149" localSheetId="2" hidden="1">Optimizacijski_problem!$AB$12</definedName>
    <definedName name="solver_rhs15" localSheetId="2" hidden="1">Optimizacijski_problem!$AE$4</definedName>
    <definedName name="solver_rhs150" localSheetId="2" hidden="1">Optimizacijski_problem!$AD$12</definedName>
    <definedName name="solver_rhs151" localSheetId="2" hidden="1">Optimizacijski_problem!$AE$12</definedName>
    <definedName name="solver_rhs152" localSheetId="2" hidden="1">Optimizacijski_problem!$AI$12</definedName>
    <definedName name="solver_rhs153" localSheetId="2" hidden="1">Optimizacijski_problem!$AI$12</definedName>
    <definedName name="solver_rhs154" localSheetId="2" hidden="1">Optimizacijski_problem!$M$5</definedName>
    <definedName name="solver_rhs155" localSheetId="2" hidden="1">Optimizacijski_problem!$R$6</definedName>
    <definedName name="solver_rhs156" localSheetId="2" hidden="1">Optimizacijski_problem!$P$6</definedName>
    <definedName name="solver_rhs157" localSheetId="2" hidden="1">Optimizacijski_problem!$O$5</definedName>
    <definedName name="solver_rhs158" localSheetId="2" hidden="1">Optimizacijski_problem!$S$8</definedName>
    <definedName name="solver_rhs159" localSheetId="2" hidden="1">Optimizacijski_problem!$R$8</definedName>
    <definedName name="solver_rhs16" localSheetId="2" hidden="1">Optimizacijski_problem!$AI$4</definedName>
    <definedName name="solver_rhs160" localSheetId="2" hidden="1">Optimizacijski_problem!$P$8</definedName>
    <definedName name="solver_rhs161" localSheetId="2" hidden="1">Optimizacijski_problem!$O$6</definedName>
    <definedName name="solver_rhs162" localSheetId="2" hidden="1">Optimizacijski_problem!$S$13</definedName>
    <definedName name="solver_rhs163" localSheetId="2" hidden="1">Optimizacijski_problem!$O$8</definedName>
    <definedName name="solver_rhs164" localSheetId="2" hidden="1">Optimizacijski_problem!$R$13</definedName>
    <definedName name="solver_rhs165" localSheetId="2" hidden="1">Optimizacijski_problem!$K$4</definedName>
    <definedName name="solver_rhs166" localSheetId="2" hidden="1">Optimizacijski_problem!$S$4</definedName>
    <definedName name="solver_rhs167" localSheetId="2" hidden="1">Optimizacijski_problem!$R$4</definedName>
    <definedName name="solver_rhs168" localSheetId="2" hidden="1">Optimizacijski_problem!$P$4</definedName>
    <definedName name="solver_rhs169" localSheetId="2" hidden="1">Optimizacijski_problem!$M$4</definedName>
    <definedName name="solver_rhs17" localSheetId="2" hidden="1">Optimizacijski_problem!$AI$4</definedName>
    <definedName name="solver_rhs170" localSheetId="2" hidden="1">Optimizacijski_problem!$O$4</definedName>
    <definedName name="solver_rhs171" localSheetId="2" hidden="1">Optimizacijski_problem!$AI$12</definedName>
    <definedName name="solver_rhs172" localSheetId="2" hidden="1">Optimizacijski_problem!$J$13</definedName>
    <definedName name="solver_rhs173" localSheetId="2" hidden="1">Optimizacijski_problem!$K$13</definedName>
    <definedName name="solver_rhs174" localSheetId="2" hidden="1">Optimizacijski_problem!$M$13</definedName>
    <definedName name="solver_rhs175" localSheetId="2" hidden="1">Optimizacijski_problem!$O$13</definedName>
    <definedName name="solver_rhs176" localSheetId="2" hidden="1">Optimizacijski_problem!$P$13</definedName>
    <definedName name="solver_rhs177" localSheetId="2" hidden="1">Optimizacijski_problem!$R$13</definedName>
    <definedName name="solver_rhs178" localSheetId="2" hidden="1">Optimizacijski_problem!$S$13</definedName>
    <definedName name="solver_rhs179" localSheetId="2" hidden="1">Optimizacijski_problem!$U$13</definedName>
    <definedName name="solver_rhs18" localSheetId="2" hidden="1">Optimizacijski_problem!$J$5</definedName>
    <definedName name="solver_rhs180" localSheetId="2" hidden="1">Optimizacijski_problem!$V$13</definedName>
    <definedName name="solver_rhs181" localSheetId="2" hidden="1">Optimizacijski_problem!$X$13</definedName>
    <definedName name="solver_rhs182" localSheetId="2" hidden="1">Optimizacijski_problem!$Y$13</definedName>
    <definedName name="solver_rhs183" localSheetId="2" hidden="1">Optimizacijski_problem!$AA$13</definedName>
    <definedName name="solver_rhs184" localSheetId="2" hidden="1">Optimizacijski_problem!$AB$13</definedName>
    <definedName name="solver_rhs185" localSheetId="2" hidden="1">Optimizacijski_problem!$AD$13</definedName>
    <definedName name="solver_rhs186" localSheetId="2" hidden="1">Optimizacijski_problem!$AE$13</definedName>
    <definedName name="solver_rhs187" localSheetId="2" hidden="1">Optimizacijski_problem!$AI$13</definedName>
    <definedName name="solver_rhs188" localSheetId="2" hidden="1">Optimizacijski_problem!$AI$13</definedName>
    <definedName name="solver_rhs189" localSheetId="2" hidden="1">Optimizacijski_problem!$AI$13</definedName>
    <definedName name="solver_rhs19" localSheetId="2" hidden="1">Optimizacijski_problem!$K$5</definedName>
    <definedName name="solver_rhs190" localSheetId="2" hidden="1">Optimizacijski_problem!$AI$13</definedName>
    <definedName name="solver_rhs2" localSheetId="0" hidden="1">Analiza_okvira_LC_kombinirani!$J$65</definedName>
    <definedName name="solver_rhs2" localSheetId="2" hidden="1">Optimizacijski_problem!$K$4</definedName>
    <definedName name="solver_rhs20" localSheetId="2" hidden="1">Optimizacijski_problem!$M$5</definedName>
    <definedName name="solver_rhs21" localSheetId="2" hidden="1">Optimizacijski_problem!$O$5</definedName>
    <definedName name="solver_rhs22" localSheetId="2" hidden="1">Optimizacijski_problem!$P$5</definedName>
    <definedName name="solver_rhs23" localSheetId="2" hidden="1">Optimizacijski_problem!$R$5</definedName>
    <definedName name="solver_rhs24" localSheetId="2" hidden="1">Optimizacijski_problem!$S$5</definedName>
    <definedName name="solver_rhs25" localSheetId="2" hidden="1">Optimizacijski_problem!$U$5</definedName>
    <definedName name="solver_rhs26" localSheetId="2" hidden="1">Optimizacijski_problem!$V$5</definedName>
    <definedName name="solver_rhs27" localSheetId="2" hidden="1">Optimizacijski_problem!$X$5</definedName>
    <definedName name="solver_rhs28" localSheetId="2" hidden="1">Optimizacijski_problem!$Y$5</definedName>
    <definedName name="solver_rhs29" localSheetId="2" hidden="1">Optimizacijski_problem!$AA$5</definedName>
    <definedName name="solver_rhs3" localSheetId="0" hidden="1">Analiza_okvira_LC_kombinirani!$J$66</definedName>
    <definedName name="solver_rhs3" localSheetId="2" hidden="1">Optimizacijski_problem!$M$4</definedName>
    <definedName name="solver_rhs30" localSheetId="2" hidden="1">Optimizacijski_problem!$AB$5</definedName>
    <definedName name="solver_rhs31" localSheetId="2" hidden="1">Optimizacijski_problem!$AD$5</definedName>
    <definedName name="solver_rhs32" localSheetId="2" hidden="1">Optimizacijski_problem!$AE$5</definedName>
    <definedName name="solver_rhs33" localSheetId="2" hidden="1">Optimizacijski_problem!$AI$5</definedName>
    <definedName name="solver_rhs34" localSheetId="2" hidden="1">Optimizacijski_problem!$AI$5</definedName>
    <definedName name="solver_rhs35" localSheetId="2" hidden="1">Optimizacijski_problem!$J$6</definedName>
    <definedName name="solver_rhs36" localSheetId="2" hidden="1">Optimizacijski_problem!$K$6</definedName>
    <definedName name="solver_rhs37" localSheetId="2" hidden="1">Optimizacijski_problem!$M$6</definedName>
    <definedName name="solver_rhs38" localSheetId="2" hidden="1">Optimizacijski_problem!$O$6</definedName>
    <definedName name="solver_rhs39" localSheetId="2" hidden="1">Optimizacijski_problem!$P$6</definedName>
    <definedName name="solver_rhs4" localSheetId="0" hidden="1">Analiza_okvira_LC_kombinirani!$J$67</definedName>
    <definedName name="solver_rhs4" localSheetId="2" hidden="1">Optimizacijski_problem!$O$4</definedName>
    <definedName name="solver_rhs40" localSheetId="2" hidden="1">Optimizacijski_problem!$R$6</definedName>
    <definedName name="solver_rhs41" localSheetId="2" hidden="1">Optimizacijski_problem!$S$6</definedName>
    <definedName name="solver_rhs42" localSheetId="2" hidden="1">Optimizacijski_problem!$U$6</definedName>
    <definedName name="solver_rhs43" localSheetId="2" hidden="1">Optimizacijski_problem!$V$6</definedName>
    <definedName name="solver_rhs44" localSheetId="2" hidden="1">Optimizacijski_problem!$X$6</definedName>
    <definedName name="solver_rhs45" localSheetId="2" hidden="1">Optimizacijski_problem!$Y$6</definedName>
    <definedName name="solver_rhs46" localSheetId="2" hidden="1">Optimizacijski_problem!$AA$6</definedName>
    <definedName name="solver_rhs47" localSheetId="2" hidden="1">Optimizacijski_problem!$AB$6</definedName>
    <definedName name="solver_rhs48" localSheetId="2" hidden="1">Optimizacijski_problem!$AD$6</definedName>
    <definedName name="solver_rhs49" localSheetId="2" hidden="1">Optimizacijski_problem!$AE$6</definedName>
    <definedName name="solver_rhs5" localSheetId="0" hidden="1">Analiza_okvira_LC_kombinirani!$J$68</definedName>
    <definedName name="solver_rhs5" localSheetId="2" hidden="1">Optimizacijski_problem!$P$4</definedName>
    <definedName name="solver_rhs50" localSheetId="2" hidden="1">Optimizacijski_problem!$AI$6</definedName>
    <definedName name="solver_rhs51" localSheetId="2" hidden="1">Optimizacijski_problem!$AI$6</definedName>
    <definedName name="solver_rhs52" localSheetId="2" hidden="1">Optimizacijski_problem!$J$7</definedName>
    <definedName name="solver_rhs53" localSheetId="2" hidden="1">Optimizacijski_problem!$K$7</definedName>
    <definedName name="solver_rhs54" localSheetId="2" hidden="1">Optimizacijski_problem!$M$7</definedName>
    <definedName name="solver_rhs55" localSheetId="2" hidden="1">Optimizacijski_problem!$O$7</definedName>
    <definedName name="solver_rhs56" localSheetId="2" hidden="1">Optimizacijski_problem!$P$7</definedName>
    <definedName name="solver_rhs57" localSheetId="2" hidden="1">Optimizacijski_problem!$R$7</definedName>
    <definedName name="solver_rhs58" localSheetId="2" hidden="1">Optimizacijski_problem!$S$7</definedName>
    <definedName name="solver_rhs59" localSheetId="2" hidden="1">Optimizacijski_problem!$U$7</definedName>
    <definedName name="solver_rhs6" localSheetId="0" hidden="1">Analiza_okvira_LC_kombinirani!$J$69</definedName>
    <definedName name="solver_rhs6" localSheetId="2" hidden="1">Optimizacijski_problem!$R$4</definedName>
    <definedName name="solver_rhs60" localSheetId="2" hidden="1">Optimizacijski_problem!$V$7</definedName>
    <definedName name="solver_rhs61" localSheetId="2" hidden="1">Optimizacijski_problem!$X$7</definedName>
    <definedName name="solver_rhs62" localSheetId="2" hidden="1">Optimizacijski_problem!$Y$7</definedName>
    <definedName name="solver_rhs63" localSheetId="2" hidden="1">Optimizacijski_problem!$AA$7</definedName>
    <definedName name="solver_rhs64" localSheetId="2" hidden="1">Optimizacijski_problem!$AB$7</definedName>
    <definedName name="solver_rhs65" localSheetId="2" hidden="1">Optimizacijski_problem!$AD$7</definedName>
    <definedName name="solver_rhs66" localSheetId="2" hidden="1">Optimizacijski_problem!$AE$7</definedName>
    <definedName name="solver_rhs67" localSheetId="2" hidden="1">Optimizacijski_problem!$AI$7</definedName>
    <definedName name="solver_rhs68" localSheetId="2" hidden="1">Optimizacijski_problem!$AI$7</definedName>
    <definedName name="solver_rhs69" localSheetId="2" hidden="1">Optimizacijski_problem!$J$8</definedName>
    <definedName name="solver_rhs7" localSheetId="2" hidden="1">Optimizacijski_problem!$S$4</definedName>
    <definedName name="solver_rhs70" localSheetId="2" hidden="1">Optimizacijski_problem!$K$8</definedName>
    <definedName name="solver_rhs71" localSheetId="2" hidden="1">Optimizacijski_problem!$M$8</definedName>
    <definedName name="solver_rhs72" localSheetId="2" hidden="1">Optimizacijski_problem!$O$8</definedName>
    <definedName name="solver_rhs73" localSheetId="2" hidden="1">Optimizacijski_problem!$P$8</definedName>
    <definedName name="solver_rhs74" localSheetId="2" hidden="1">Optimizacijski_problem!$R$8</definedName>
    <definedName name="solver_rhs75" localSheetId="2" hidden="1">Optimizacijski_problem!$S$8</definedName>
    <definedName name="solver_rhs76" localSheetId="2" hidden="1">Optimizacijski_problem!$U$8</definedName>
    <definedName name="solver_rhs77" localSheetId="2" hidden="1">Optimizacijski_problem!$V$8</definedName>
    <definedName name="solver_rhs78" localSheetId="2" hidden="1">Optimizacijski_problem!$X$8</definedName>
    <definedName name="solver_rhs79" localSheetId="2" hidden="1">Optimizacijski_problem!$Y$8</definedName>
    <definedName name="solver_rhs8" localSheetId="2" hidden="1">Optimizacijski_problem!$U$4</definedName>
    <definedName name="solver_rhs80" localSheetId="2" hidden="1">Optimizacijski_problem!$AA$8</definedName>
    <definedName name="solver_rhs81" localSheetId="2" hidden="1">Optimizacijski_problem!$AB$8</definedName>
    <definedName name="solver_rhs82" localSheetId="2" hidden="1">Optimizacijski_problem!$AD$8</definedName>
    <definedName name="solver_rhs83" localSheetId="2" hidden="1">Optimizacijski_problem!$AE$8</definedName>
    <definedName name="solver_rhs84" localSheetId="2" hidden="1">Optimizacijski_problem!$AI$8</definedName>
    <definedName name="solver_rhs85" localSheetId="2" hidden="1">Optimizacijski_problem!$AI$8</definedName>
    <definedName name="solver_rhs86" localSheetId="2" hidden="1">Optimizacijski_problem!$J$9</definedName>
    <definedName name="solver_rhs87" localSheetId="2" hidden="1">Optimizacijski_problem!$K$9</definedName>
    <definedName name="solver_rhs88" localSheetId="2" hidden="1">Optimizacijski_problem!$M$9</definedName>
    <definedName name="solver_rhs89" localSheetId="2" hidden="1">Optimizacijski_problem!$O$9</definedName>
    <definedName name="solver_rhs9" localSheetId="2" hidden="1">Optimizacijski_problem!$V$4</definedName>
    <definedName name="solver_rhs90" localSheetId="2" hidden="1">Optimizacijski_problem!$P$9</definedName>
    <definedName name="solver_rhs91" localSheetId="2" hidden="1">Optimizacijski_problem!$R$9</definedName>
    <definedName name="solver_rhs92" localSheetId="2" hidden="1">Optimizacijski_problem!$S$9</definedName>
    <definedName name="solver_rhs93" localSheetId="2" hidden="1">Optimizacijski_problem!$U$9</definedName>
    <definedName name="solver_rhs94" localSheetId="2" hidden="1">Optimizacijski_problem!$V$9</definedName>
    <definedName name="solver_rhs95" localSheetId="2" hidden="1">Optimizacijski_problem!$X$9</definedName>
    <definedName name="solver_rhs96" localSheetId="2" hidden="1">Optimizacijski_problem!$Y$9</definedName>
    <definedName name="solver_rhs97" localSheetId="2" hidden="1">Optimizacijski_problem!$AA$9</definedName>
    <definedName name="solver_rhs98" localSheetId="2" hidden="1">Optimizacijski_problem!$AB$9</definedName>
    <definedName name="solver_rhs99" localSheetId="2" hidden="1">Optimizacijski_problem!$AD$9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1</definedName>
    <definedName name="solver_scl" localSheetId="2" hidden="1">2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0.01</definedName>
    <definedName name="solver_tol" localSheetId="2" hidden="1">0.01</definedName>
    <definedName name="solver_typ" localSheetId="0" hidden="1">2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  <definedName name="w">Analiza_okvira_LC_kombinirani!$C$15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8" i="1" l="1"/>
  <c r="H98" i="1"/>
  <c r="K105" i="1"/>
  <c r="K93" i="1"/>
  <c r="K94" i="1"/>
  <c r="K95" i="1"/>
  <c r="K96" i="1"/>
  <c r="K97" i="1"/>
  <c r="K99" i="1"/>
  <c r="K100" i="1"/>
  <c r="K101" i="1"/>
  <c r="K102" i="1"/>
  <c r="K103" i="1"/>
  <c r="K104" i="1"/>
  <c r="K106" i="1"/>
  <c r="K107" i="1"/>
  <c r="K92" i="1"/>
  <c r="I92" i="1"/>
  <c r="F92" i="1"/>
  <c r="G45" i="1"/>
  <c r="H45" i="1"/>
  <c r="E92" i="1" s="1"/>
  <c r="E98" i="1"/>
  <c r="H46" i="1"/>
  <c r="E93" i="1"/>
  <c r="Q44" i="1"/>
  <c r="Y40" i="1"/>
  <c r="Y38" i="1"/>
  <c r="Y37" i="1"/>
  <c r="Y35" i="1"/>
  <c r="Y34" i="1"/>
  <c r="Y32" i="1"/>
  <c r="Y39" i="1"/>
  <c r="Y36" i="1"/>
  <c r="Y33" i="1"/>
  <c r="Y31" i="1"/>
  <c r="X32" i="1"/>
  <c r="X33" i="1"/>
  <c r="X34" i="1"/>
  <c r="X35" i="1"/>
  <c r="X36" i="1"/>
  <c r="X37" i="1"/>
  <c r="X38" i="1"/>
  <c r="X39" i="1"/>
  <c r="X40" i="1"/>
  <c r="X31" i="1"/>
  <c r="U31" i="1"/>
  <c r="V31" i="1"/>
  <c r="D65" i="1"/>
  <c r="G68" i="1"/>
  <c r="H69" i="1"/>
  <c r="C64" i="1"/>
  <c r="Q31" i="1"/>
  <c r="P31" i="1"/>
  <c r="D64" i="1"/>
  <c r="C65" i="1"/>
  <c r="E66" i="1"/>
  <c r="F45" i="1"/>
  <c r="E58" i="1"/>
  <c r="H58" i="1" s="1"/>
  <c r="E55" i="1"/>
  <c r="H55" i="1"/>
  <c r="H51" i="1"/>
  <c r="H49" i="1"/>
  <c r="F58" i="1"/>
  <c r="G58" i="1" s="1"/>
  <c r="F55" i="1"/>
  <c r="G55" i="1" s="1"/>
  <c r="F57" i="4"/>
  <c r="G57" i="4" s="1"/>
  <c r="H57" i="4" s="1"/>
  <c r="E57" i="4"/>
  <c r="F56" i="4"/>
  <c r="G56" i="4" s="1"/>
  <c r="H56" i="4" s="1"/>
  <c r="H55" i="4"/>
  <c r="E104" i="4" s="1"/>
  <c r="E106" i="4" s="1"/>
  <c r="G55" i="4"/>
  <c r="E55" i="4"/>
  <c r="F54" i="4"/>
  <c r="G54" i="4" s="1"/>
  <c r="H54" i="4" s="1"/>
  <c r="E54" i="4"/>
  <c r="F53" i="4"/>
  <c r="G53" i="4" s="1"/>
  <c r="H53" i="4" s="1"/>
  <c r="E53" i="4"/>
  <c r="F52" i="4"/>
  <c r="G52" i="4" s="1"/>
  <c r="H52" i="4" s="1"/>
  <c r="E52" i="4"/>
  <c r="E56" i="4" s="1"/>
  <c r="F51" i="4"/>
  <c r="G51" i="4" s="1"/>
  <c r="H51" i="4" s="1"/>
  <c r="F50" i="4"/>
  <c r="G50" i="4" s="1"/>
  <c r="H50" i="4" s="1"/>
  <c r="E50" i="4"/>
  <c r="G49" i="4"/>
  <c r="H49" i="4" s="1"/>
  <c r="F49" i="4"/>
  <c r="E49" i="4"/>
  <c r="E51" i="4" s="1"/>
  <c r="F48" i="4"/>
  <c r="G48" i="4" s="1"/>
  <c r="H48" i="4" s="1"/>
  <c r="E48" i="4"/>
  <c r="G47" i="4"/>
  <c r="H47" i="4" s="1"/>
  <c r="F47" i="4"/>
  <c r="E47" i="4"/>
  <c r="G46" i="4"/>
  <c r="H46" i="4" s="1"/>
  <c r="E46" i="4"/>
  <c r="F45" i="4"/>
  <c r="G45" i="4" s="1"/>
  <c r="H45" i="4" s="1"/>
  <c r="E45" i="4"/>
  <c r="L40" i="4"/>
  <c r="K40" i="4"/>
  <c r="J40" i="4"/>
  <c r="N40" i="4" s="1"/>
  <c r="I40" i="4"/>
  <c r="H40" i="4"/>
  <c r="G40" i="4"/>
  <c r="N39" i="4"/>
  <c r="L39" i="4"/>
  <c r="K39" i="4"/>
  <c r="J39" i="4"/>
  <c r="I39" i="4"/>
  <c r="H39" i="4"/>
  <c r="M39" i="4" s="1"/>
  <c r="G39" i="4"/>
  <c r="L38" i="4"/>
  <c r="O38" i="4" s="1"/>
  <c r="K38" i="4"/>
  <c r="J38" i="4"/>
  <c r="N38" i="4" s="1"/>
  <c r="I38" i="4"/>
  <c r="M38" i="4" s="1"/>
  <c r="H38" i="4"/>
  <c r="G38" i="4"/>
  <c r="N37" i="4"/>
  <c r="L37" i="4"/>
  <c r="K37" i="4"/>
  <c r="J37" i="4"/>
  <c r="I37" i="4"/>
  <c r="M37" i="4" s="1"/>
  <c r="H37" i="4"/>
  <c r="G37" i="4"/>
  <c r="N36" i="4"/>
  <c r="K36" i="4"/>
  <c r="J36" i="4"/>
  <c r="I36" i="4"/>
  <c r="H36" i="4"/>
  <c r="G36" i="4"/>
  <c r="M35" i="4"/>
  <c r="K35" i="4"/>
  <c r="J35" i="4"/>
  <c r="N35" i="4" s="1"/>
  <c r="I35" i="4"/>
  <c r="H35" i="4"/>
  <c r="G35" i="4"/>
  <c r="L35" i="4" s="1"/>
  <c r="L34" i="4"/>
  <c r="K34" i="4"/>
  <c r="J34" i="4"/>
  <c r="N34" i="4" s="1"/>
  <c r="I34" i="4"/>
  <c r="H34" i="4"/>
  <c r="G34" i="4"/>
  <c r="N33" i="4"/>
  <c r="L33" i="4"/>
  <c r="K33" i="4"/>
  <c r="J33" i="4"/>
  <c r="I33" i="4"/>
  <c r="H33" i="4"/>
  <c r="M33" i="4" s="1"/>
  <c r="G33" i="4"/>
  <c r="L32" i="4"/>
  <c r="K32" i="4"/>
  <c r="J32" i="4"/>
  <c r="N32" i="4" s="1"/>
  <c r="I32" i="4"/>
  <c r="M32" i="4" s="1"/>
  <c r="H32" i="4"/>
  <c r="G32" i="4"/>
  <c r="N31" i="4"/>
  <c r="L31" i="4"/>
  <c r="K31" i="4"/>
  <c r="J31" i="4"/>
  <c r="I31" i="4"/>
  <c r="M31" i="4" s="1"/>
  <c r="H31" i="4"/>
  <c r="G31" i="4"/>
  <c r="C20" i="4"/>
  <c r="I9" i="3"/>
  <c r="H31" i="1"/>
  <c r="H32" i="1"/>
  <c r="H33" i="1"/>
  <c r="H34" i="1"/>
  <c r="H35" i="1"/>
  <c r="H36" i="1"/>
  <c r="H37" i="1"/>
  <c r="H38" i="1"/>
  <c r="H39" i="1"/>
  <c r="I31" i="1"/>
  <c r="AL4" i="3"/>
  <c r="N4" i="3"/>
  <c r="N5" i="3"/>
  <c r="N6" i="3"/>
  <c r="N7" i="3"/>
  <c r="N8" i="3"/>
  <c r="N9" i="3"/>
  <c r="N10" i="3"/>
  <c r="N11" i="3"/>
  <c r="N12" i="3"/>
  <c r="N13" i="3"/>
  <c r="I5" i="3"/>
  <c r="I6" i="3"/>
  <c r="I7" i="3"/>
  <c r="I8" i="3"/>
  <c r="I10" i="3"/>
  <c r="I11" i="3"/>
  <c r="I12" i="3"/>
  <c r="I13" i="3"/>
  <c r="CG2" i="3"/>
  <c r="A2" i="3"/>
  <c r="A3" i="3" s="1"/>
  <c r="A4" i="3" s="1"/>
  <c r="BL2" i="3"/>
  <c r="BR2" i="3" s="1"/>
  <c r="BN2" i="3"/>
  <c r="BT2" i="3" s="1"/>
  <c r="BK2" i="3"/>
  <c r="AN15" i="3"/>
  <c r="AQ15" i="3" s="1"/>
  <c r="AT15" i="3" s="1"/>
  <c r="AW15" i="3" s="1"/>
  <c r="AZ15" i="3" s="1"/>
  <c r="BC15" i="3" s="1"/>
  <c r="BF15" i="3" s="1"/>
  <c r="BI15" i="3" s="1"/>
  <c r="BL15" i="3" s="1"/>
  <c r="BO15" i="3" s="1"/>
  <c r="BR15" i="3" s="1"/>
  <c r="BU15" i="3" s="1"/>
  <c r="BX15" i="3" s="1"/>
  <c r="CA15" i="3" s="1"/>
  <c r="CD15" i="3" s="1"/>
  <c r="CG15" i="3" s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H40" i="1"/>
  <c r="I40" i="1"/>
  <c r="J40" i="1"/>
  <c r="K40" i="1"/>
  <c r="C20" i="1"/>
  <c r="CI2" i="3"/>
  <c r="CH13" i="3"/>
  <c r="CH12" i="3"/>
  <c r="CH11" i="3"/>
  <c r="CH10" i="3"/>
  <c r="CH9" i="3"/>
  <c r="CH8" i="3"/>
  <c r="CH7" i="3"/>
  <c r="CH6" i="3"/>
  <c r="CH5" i="3"/>
  <c r="CH4" i="3"/>
  <c r="CE13" i="3"/>
  <c r="CE12" i="3"/>
  <c r="CE11" i="3"/>
  <c r="CE10" i="3"/>
  <c r="CE9" i="3"/>
  <c r="CE8" i="3"/>
  <c r="CE7" i="3"/>
  <c r="CE6" i="3"/>
  <c r="CE5" i="3"/>
  <c r="CE4" i="3"/>
  <c r="AI5" i="3"/>
  <c r="AI6" i="3"/>
  <c r="AI7" i="3"/>
  <c r="AI8" i="3"/>
  <c r="AI9" i="3"/>
  <c r="AI10" i="3"/>
  <c r="AI11" i="3"/>
  <c r="AI12" i="3"/>
  <c r="AI13" i="3"/>
  <c r="AI4" i="3"/>
  <c r="B1" i="3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CB13" i="3"/>
  <c r="BY13" i="3"/>
  <c r="CB12" i="3"/>
  <c r="BY12" i="3"/>
  <c r="CB11" i="3"/>
  <c r="BY11" i="3"/>
  <c r="CB10" i="3"/>
  <c r="BY10" i="3"/>
  <c r="CB9" i="3"/>
  <c r="BY9" i="3"/>
  <c r="CB8" i="3"/>
  <c r="BY8" i="3"/>
  <c r="CB7" i="3"/>
  <c r="BY7" i="3"/>
  <c r="CB6" i="3"/>
  <c r="BY6" i="3"/>
  <c r="CB5" i="3"/>
  <c r="BY5" i="3"/>
  <c r="CB4" i="3"/>
  <c r="BY4" i="3"/>
  <c r="BV13" i="3"/>
  <c r="BS13" i="3"/>
  <c r="BV12" i="3"/>
  <c r="BS12" i="3"/>
  <c r="BV11" i="3"/>
  <c r="BS11" i="3"/>
  <c r="BV10" i="3"/>
  <c r="BS10" i="3"/>
  <c r="BV9" i="3"/>
  <c r="BS9" i="3"/>
  <c r="BV8" i="3"/>
  <c r="BS8" i="3"/>
  <c r="BV7" i="3"/>
  <c r="BS7" i="3"/>
  <c r="BV6" i="3"/>
  <c r="BS6" i="3"/>
  <c r="BV5" i="3"/>
  <c r="BS5" i="3"/>
  <c r="BV4" i="3"/>
  <c r="BS4" i="3"/>
  <c r="BP13" i="3"/>
  <c r="BM13" i="3"/>
  <c r="BP12" i="3"/>
  <c r="BM12" i="3"/>
  <c r="BP11" i="3"/>
  <c r="BM11" i="3"/>
  <c r="BP10" i="3"/>
  <c r="BM10" i="3"/>
  <c r="BP9" i="3"/>
  <c r="BM9" i="3"/>
  <c r="BP8" i="3"/>
  <c r="BM8" i="3"/>
  <c r="BP7" i="3"/>
  <c r="BM7" i="3"/>
  <c r="BP6" i="3"/>
  <c r="BM6" i="3"/>
  <c r="BP5" i="3"/>
  <c r="BM5" i="3"/>
  <c r="BP4" i="3"/>
  <c r="BM4" i="3"/>
  <c r="J58" i="1" l="1"/>
  <c r="P31" i="4"/>
  <c r="U31" i="4" s="1"/>
  <c r="J57" i="4"/>
  <c r="E107" i="4"/>
  <c r="J65" i="4"/>
  <c r="E93" i="4"/>
  <c r="E94" i="4" s="1"/>
  <c r="J46" i="4"/>
  <c r="J69" i="4"/>
  <c r="J56" i="4"/>
  <c r="E105" i="4"/>
  <c r="J51" i="4"/>
  <c r="E100" i="4"/>
  <c r="J67" i="4"/>
  <c r="J47" i="4"/>
  <c r="E95" i="4"/>
  <c r="E102" i="4"/>
  <c r="J68" i="4"/>
  <c r="J53" i="4"/>
  <c r="O35" i="4"/>
  <c r="P35" i="4" s="1"/>
  <c r="E92" i="4"/>
  <c r="J64" i="4"/>
  <c r="J45" i="4"/>
  <c r="J52" i="4"/>
  <c r="E101" i="4"/>
  <c r="O32" i="4"/>
  <c r="P32" i="4" s="1"/>
  <c r="J66" i="4"/>
  <c r="J48" i="4"/>
  <c r="E96" i="4"/>
  <c r="E97" i="4" s="1"/>
  <c r="J54" i="4"/>
  <c r="E103" i="4"/>
  <c r="J49" i="4"/>
  <c r="E98" i="4"/>
  <c r="E99" i="4"/>
  <c r="J50" i="4"/>
  <c r="P33" i="4"/>
  <c r="Q33" i="4" s="1"/>
  <c r="P37" i="4"/>
  <c r="U37" i="4" s="1"/>
  <c r="P38" i="4"/>
  <c r="U38" i="4" s="1"/>
  <c r="Q31" i="4"/>
  <c r="P34" i="4"/>
  <c r="U34" i="4" s="1"/>
  <c r="O33" i="4"/>
  <c r="M34" i="4"/>
  <c r="O39" i="4"/>
  <c r="M40" i="4"/>
  <c r="P40" i="4" s="1"/>
  <c r="J55" i="4"/>
  <c r="P39" i="4"/>
  <c r="Q39" i="4" s="1"/>
  <c r="O34" i="4"/>
  <c r="O40" i="4"/>
  <c r="L36" i="4"/>
  <c r="U33" i="4"/>
  <c r="M36" i="4"/>
  <c r="U39" i="4"/>
  <c r="O31" i="4"/>
  <c r="O37" i="4"/>
  <c r="CD4" i="3"/>
  <c r="A5" i="3"/>
  <c r="CG5" i="3" s="1"/>
  <c r="CF4" i="3"/>
  <c r="AK1" i="3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BU2" i="3"/>
  <c r="BX2" i="3"/>
  <c r="CA2" i="3" s="1"/>
  <c r="BZ2" i="3"/>
  <c r="CC2" i="3" s="1"/>
  <c r="BW2" i="3"/>
  <c r="BQ2" i="3"/>
  <c r="CI4" i="3"/>
  <c r="CI5" i="3"/>
  <c r="CG4" i="3"/>
  <c r="AZ2" i="3"/>
  <c r="BJ13" i="3"/>
  <c r="BG13" i="3"/>
  <c r="BJ12" i="3"/>
  <c r="BG12" i="3"/>
  <c r="BJ11" i="3"/>
  <c r="BG11" i="3"/>
  <c r="BJ10" i="3"/>
  <c r="BG10" i="3"/>
  <c r="BJ9" i="3"/>
  <c r="BG9" i="3"/>
  <c r="BJ8" i="3"/>
  <c r="BG8" i="3"/>
  <c r="BJ7" i="3"/>
  <c r="BG7" i="3"/>
  <c r="BJ6" i="3"/>
  <c r="BG6" i="3"/>
  <c r="BJ5" i="3"/>
  <c r="BG5" i="3"/>
  <c r="BJ4" i="3"/>
  <c r="BG4" i="3"/>
  <c r="AC5" i="3"/>
  <c r="AC6" i="3"/>
  <c r="AC7" i="3"/>
  <c r="AC8" i="3"/>
  <c r="AC9" i="3"/>
  <c r="AC10" i="3"/>
  <c r="AC11" i="3"/>
  <c r="AC12" i="3"/>
  <c r="AC13" i="3"/>
  <c r="AC4" i="3"/>
  <c r="Z5" i="3"/>
  <c r="Z6" i="3"/>
  <c r="Z7" i="3"/>
  <c r="Z8" i="3"/>
  <c r="Z9" i="3"/>
  <c r="Z10" i="3"/>
  <c r="Z11" i="3"/>
  <c r="Z12" i="3"/>
  <c r="Z13" i="3"/>
  <c r="Z4" i="3"/>
  <c r="W5" i="3"/>
  <c r="W6" i="3"/>
  <c r="W7" i="3"/>
  <c r="W8" i="3"/>
  <c r="W9" i="3"/>
  <c r="W10" i="3"/>
  <c r="W11" i="3"/>
  <c r="W12" i="3"/>
  <c r="W13" i="3"/>
  <c r="W4" i="3"/>
  <c r="T5" i="3"/>
  <c r="T6" i="3"/>
  <c r="T7" i="3"/>
  <c r="T8" i="3"/>
  <c r="T9" i="3"/>
  <c r="T10" i="3"/>
  <c r="T11" i="3"/>
  <c r="T12" i="3"/>
  <c r="T13" i="3"/>
  <c r="T4" i="3"/>
  <c r="BD13" i="3"/>
  <c r="BA13" i="3"/>
  <c r="BD12" i="3"/>
  <c r="BA12" i="3"/>
  <c r="BD11" i="3"/>
  <c r="BA11" i="3"/>
  <c r="BD10" i="3"/>
  <c r="BA10" i="3"/>
  <c r="BD9" i="3"/>
  <c r="BA9" i="3"/>
  <c r="BD8" i="3"/>
  <c r="BA8" i="3"/>
  <c r="BD7" i="3"/>
  <c r="BA7" i="3"/>
  <c r="BD6" i="3"/>
  <c r="BA6" i="3"/>
  <c r="BD5" i="3"/>
  <c r="BA5" i="3"/>
  <c r="BD4" i="3"/>
  <c r="BA4" i="3"/>
  <c r="AQ4" i="3"/>
  <c r="AX13" i="3"/>
  <c r="AX12" i="3"/>
  <c r="AX11" i="3"/>
  <c r="AX10" i="3"/>
  <c r="AX9" i="3"/>
  <c r="AX8" i="3"/>
  <c r="AX7" i="3"/>
  <c r="AX6" i="3"/>
  <c r="AX5" i="3"/>
  <c r="AW5" i="3"/>
  <c r="AY4" i="3"/>
  <c r="AX4" i="3"/>
  <c r="AW4" i="3"/>
  <c r="AU13" i="3"/>
  <c r="AU12" i="3"/>
  <c r="AU11" i="3"/>
  <c r="AU10" i="3"/>
  <c r="AU9" i="3"/>
  <c r="AU8" i="3"/>
  <c r="AU7" i="3"/>
  <c r="AU6" i="3"/>
  <c r="AV5" i="3"/>
  <c r="AU5" i="3"/>
  <c r="AV4" i="3"/>
  <c r="AU4" i="3"/>
  <c r="AT4" i="3"/>
  <c r="AR13" i="3"/>
  <c r="AR12" i="3"/>
  <c r="AR11" i="3"/>
  <c r="AR10" i="3"/>
  <c r="AR9" i="3"/>
  <c r="AR8" i="3"/>
  <c r="AR7" i="3"/>
  <c r="AR6" i="3"/>
  <c r="AS5" i="3"/>
  <c r="AR5" i="3"/>
  <c r="AQ5" i="3"/>
  <c r="AS4" i="3"/>
  <c r="AR4" i="3"/>
  <c r="AO13" i="3"/>
  <c r="AO12" i="3"/>
  <c r="AO11" i="3"/>
  <c r="AO10" i="3"/>
  <c r="AO9" i="3"/>
  <c r="AO8" i="3"/>
  <c r="AO7" i="3"/>
  <c r="AO6" i="3"/>
  <c r="AP5" i="3"/>
  <c r="AO5" i="3"/>
  <c r="AN5" i="3"/>
  <c r="AP4" i="3"/>
  <c r="AO4" i="3"/>
  <c r="AN4" i="3"/>
  <c r="AK5" i="3"/>
  <c r="AL5" i="3"/>
  <c r="AM5" i="3"/>
  <c r="AL6" i="3"/>
  <c r="AL7" i="3"/>
  <c r="AL8" i="3"/>
  <c r="AL9" i="3"/>
  <c r="AL10" i="3"/>
  <c r="AL11" i="3"/>
  <c r="AL12" i="3"/>
  <c r="AL13" i="3"/>
  <c r="AM4" i="3"/>
  <c r="AK4" i="3"/>
  <c r="Q5" i="3"/>
  <c r="Q4" i="3"/>
  <c r="Q6" i="3"/>
  <c r="Q7" i="3"/>
  <c r="Q8" i="3"/>
  <c r="Q9" i="3"/>
  <c r="Q10" i="3"/>
  <c r="Q11" i="3"/>
  <c r="Q12" i="3"/>
  <c r="Q13" i="3"/>
  <c r="L5" i="3"/>
  <c r="L6" i="3"/>
  <c r="L7" i="3"/>
  <c r="L8" i="3"/>
  <c r="L9" i="3"/>
  <c r="L10" i="3"/>
  <c r="L11" i="3"/>
  <c r="L12" i="3"/>
  <c r="L13" i="3"/>
  <c r="L4" i="3"/>
  <c r="C18" i="3"/>
  <c r="C19" i="3"/>
  <c r="F19" i="3"/>
  <c r="C20" i="3"/>
  <c r="C21" i="3"/>
  <c r="F21" i="3"/>
  <c r="C24" i="3"/>
  <c r="C22" i="3"/>
  <c r="F24" i="3"/>
  <c r="C25" i="3"/>
  <c r="F22" i="3"/>
  <c r="C23" i="3"/>
  <c r="C27" i="3"/>
  <c r="F25" i="3"/>
  <c r="F27" i="3"/>
  <c r="C26" i="3"/>
  <c r="I4" i="3"/>
  <c r="CG3" i="3"/>
  <c r="AQ3" i="3"/>
  <c r="AT3" i="3"/>
  <c r="AK3" i="3"/>
  <c r="AW3" i="3"/>
  <c r="CD3" i="3"/>
  <c r="AN3" i="3"/>
  <c r="V39" i="4" l="1"/>
  <c r="G107" i="4" s="1"/>
  <c r="T39" i="4"/>
  <c r="D107" i="4" s="1"/>
  <c r="U32" i="4"/>
  <c r="Q32" i="4"/>
  <c r="Q40" i="4"/>
  <c r="U40" i="4"/>
  <c r="Q35" i="4"/>
  <c r="U35" i="4"/>
  <c r="Q34" i="4"/>
  <c r="V33" i="4"/>
  <c r="G95" i="4" s="1"/>
  <c r="T33" i="4"/>
  <c r="D95" i="4" s="1"/>
  <c r="V31" i="4"/>
  <c r="G92" i="4" s="1"/>
  <c r="T31" i="4"/>
  <c r="P36" i="4"/>
  <c r="U36" i="4" s="1"/>
  <c r="O36" i="4"/>
  <c r="Q37" i="4"/>
  <c r="Q38" i="4"/>
  <c r="AT5" i="3"/>
  <c r="AY5" i="3"/>
  <c r="CF5" i="3"/>
  <c r="A6" i="3"/>
  <c r="AZ6" i="3" s="1"/>
  <c r="CD5" i="3"/>
  <c r="BB2" i="3"/>
  <c r="AZ4" i="3"/>
  <c r="BC2" i="3"/>
  <c r="BC4" i="3" s="1"/>
  <c r="AZ5" i="3"/>
  <c r="AZ3" i="3"/>
  <c r="V35" i="4" l="1"/>
  <c r="G99" i="4" s="1"/>
  <c r="G102" i="4" s="1"/>
  <c r="T35" i="4"/>
  <c r="D92" i="4"/>
  <c r="C64" i="4"/>
  <c r="T34" i="4"/>
  <c r="V34" i="4"/>
  <c r="G96" i="4" s="1"/>
  <c r="V38" i="4"/>
  <c r="G101" i="4" s="1"/>
  <c r="G105" i="4" s="1"/>
  <c r="T38" i="4"/>
  <c r="Q36" i="4"/>
  <c r="V40" i="4"/>
  <c r="G104" i="4" s="1"/>
  <c r="T40" i="4"/>
  <c r="V37" i="4"/>
  <c r="G98" i="4" s="1"/>
  <c r="G100" i="4" s="1"/>
  <c r="T37" i="4"/>
  <c r="V32" i="4"/>
  <c r="G93" i="4" s="1"/>
  <c r="T32" i="4"/>
  <c r="CD6" i="3"/>
  <c r="A7" i="3"/>
  <c r="BC7" i="3" s="1"/>
  <c r="CF6" i="3"/>
  <c r="AK6" i="3"/>
  <c r="AV6" i="3"/>
  <c r="AQ6" i="3"/>
  <c r="CI6" i="3"/>
  <c r="CG6" i="3"/>
  <c r="AM6" i="3"/>
  <c r="AY6" i="3"/>
  <c r="AT6" i="3"/>
  <c r="AP6" i="3"/>
  <c r="AN6" i="3"/>
  <c r="AW6" i="3"/>
  <c r="AS6" i="3"/>
  <c r="BB6" i="3"/>
  <c r="BB4" i="3"/>
  <c r="BB7" i="3"/>
  <c r="BC5" i="3"/>
  <c r="BB5" i="3"/>
  <c r="BC6" i="3"/>
  <c r="BF4" i="3"/>
  <c r="BF7" i="3"/>
  <c r="BF5" i="3"/>
  <c r="BF6" i="3"/>
  <c r="BI2" i="3"/>
  <c r="BE2" i="3"/>
  <c r="G46" i="1"/>
  <c r="G32" i="1"/>
  <c r="G33" i="1"/>
  <c r="G34" i="1"/>
  <c r="G35" i="1"/>
  <c r="G36" i="1"/>
  <c r="G37" i="1"/>
  <c r="G38" i="1"/>
  <c r="G39" i="1"/>
  <c r="G40" i="1"/>
  <c r="G31" i="1"/>
  <c r="L31" i="1" s="1"/>
  <c r="BF3" i="3"/>
  <c r="BC3" i="3"/>
  <c r="G106" i="4" l="1"/>
  <c r="J106" i="4" s="1"/>
  <c r="J104" i="4"/>
  <c r="G97" i="4"/>
  <c r="J97" i="4" s="1"/>
  <c r="J96" i="4"/>
  <c r="D101" i="4"/>
  <c r="H69" i="4"/>
  <c r="F69" i="4"/>
  <c r="H67" i="4"/>
  <c r="E66" i="4"/>
  <c r="D66" i="4"/>
  <c r="E65" i="4"/>
  <c r="D96" i="4"/>
  <c r="J93" i="4"/>
  <c r="G94" i="4"/>
  <c r="J94" i="4" s="1"/>
  <c r="G66" i="4"/>
  <c r="D99" i="4"/>
  <c r="E68" i="4"/>
  <c r="D93" i="4"/>
  <c r="D65" i="4"/>
  <c r="C65" i="4"/>
  <c r="D64" i="4"/>
  <c r="F66" i="4"/>
  <c r="E67" i="4"/>
  <c r="D98" i="4"/>
  <c r="F67" i="4"/>
  <c r="D104" i="4"/>
  <c r="G69" i="4"/>
  <c r="H68" i="4"/>
  <c r="T36" i="4"/>
  <c r="D103" i="4" s="1"/>
  <c r="V36" i="4"/>
  <c r="G103" i="4" s="1"/>
  <c r="CD7" i="3"/>
  <c r="CF7" i="3"/>
  <c r="A8" i="3"/>
  <c r="AY7" i="3"/>
  <c r="AT7" i="3"/>
  <c r="AP7" i="3"/>
  <c r="AW7" i="3"/>
  <c r="CI7" i="3"/>
  <c r="AN7" i="3"/>
  <c r="AK7" i="3"/>
  <c r="AS7" i="3"/>
  <c r="AM7" i="3"/>
  <c r="CG7" i="3"/>
  <c r="AV7" i="3"/>
  <c r="AQ7" i="3"/>
  <c r="AZ7" i="3"/>
  <c r="BI7" i="3"/>
  <c r="BI8" i="3"/>
  <c r="BI6" i="3"/>
  <c r="BI4" i="3"/>
  <c r="BI5" i="3"/>
  <c r="BE6" i="3"/>
  <c r="BE8" i="3"/>
  <c r="BE5" i="3"/>
  <c r="BE7" i="3"/>
  <c r="BE4" i="3"/>
  <c r="BL5" i="3"/>
  <c r="BL4" i="3"/>
  <c r="BL6" i="3"/>
  <c r="BL8" i="3"/>
  <c r="BO2" i="3"/>
  <c r="BL7" i="3"/>
  <c r="BH5" i="3"/>
  <c r="BH6" i="3"/>
  <c r="BH8" i="3"/>
  <c r="BH7" i="3"/>
  <c r="BH4" i="3"/>
  <c r="BL3" i="3"/>
  <c r="BI3" i="3"/>
  <c r="C74" i="4" l="1" a="1"/>
  <c r="D102" i="4"/>
  <c r="D105" i="4"/>
  <c r="D97" i="4"/>
  <c r="D94" i="4"/>
  <c r="G68" i="4"/>
  <c r="D106" i="4"/>
  <c r="D100" i="4"/>
  <c r="CF8" i="3"/>
  <c r="CD8" i="3"/>
  <c r="A9" i="3"/>
  <c r="AN8" i="3"/>
  <c r="AM8" i="3"/>
  <c r="AP8" i="3"/>
  <c r="AS8" i="3"/>
  <c r="CG8" i="3"/>
  <c r="AV8" i="3"/>
  <c r="AQ8" i="3"/>
  <c r="AK8" i="3"/>
  <c r="AY8" i="3"/>
  <c r="AT8" i="3"/>
  <c r="CI8" i="3"/>
  <c r="AW8" i="3"/>
  <c r="AZ8" i="3"/>
  <c r="BB8" i="3"/>
  <c r="BF8" i="3"/>
  <c r="BC8" i="3"/>
  <c r="BR9" i="3"/>
  <c r="BR6" i="3"/>
  <c r="BR5" i="3"/>
  <c r="BR7" i="3"/>
  <c r="BR4" i="3"/>
  <c r="BR8" i="3"/>
  <c r="BK5" i="3"/>
  <c r="BK8" i="3"/>
  <c r="BK4" i="3"/>
  <c r="BK9" i="3"/>
  <c r="BK7" i="3"/>
  <c r="BK6" i="3"/>
  <c r="BN7" i="3"/>
  <c r="BN4" i="3"/>
  <c r="BN9" i="3"/>
  <c r="BN6" i="3"/>
  <c r="BN5" i="3"/>
  <c r="BN8" i="3"/>
  <c r="BO5" i="3"/>
  <c r="BO8" i="3"/>
  <c r="BO4" i="3"/>
  <c r="BO6" i="3"/>
  <c r="BO7" i="3"/>
  <c r="BO9" i="3"/>
  <c r="F54" i="1"/>
  <c r="F53" i="1"/>
  <c r="F50" i="1"/>
  <c r="G50" i="1" s="1"/>
  <c r="F48" i="1"/>
  <c r="G48" i="1" s="1"/>
  <c r="F47" i="1"/>
  <c r="G47" i="1" s="1"/>
  <c r="E57" i="1"/>
  <c r="E54" i="1"/>
  <c r="E52" i="1"/>
  <c r="E56" i="1" s="1"/>
  <c r="E50" i="1"/>
  <c r="E53" i="1" s="1"/>
  <c r="E49" i="1"/>
  <c r="E51" i="1" s="1"/>
  <c r="E48" i="1"/>
  <c r="E46" i="1"/>
  <c r="E47" i="1"/>
  <c r="E45" i="1"/>
  <c r="J64" i="1" s="1"/>
  <c r="L32" i="1"/>
  <c r="M32" i="1"/>
  <c r="N32" i="1"/>
  <c r="L33" i="1"/>
  <c r="M33" i="1"/>
  <c r="N33" i="1"/>
  <c r="L34" i="1"/>
  <c r="M34" i="1"/>
  <c r="N34" i="1"/>
  <c r="L35" i="1"/>
  <c r="M35" i="1"/>
  <c r="N35" i="1"/>
  <c r="L36" i="1"/>
  <c r="M36" i="1"/>
  <c r="N36" i="1"/>
  <c r="L37" i="1"/>
  <c r="M37" i="1"/>
  <c r="N37" i="1"/>
  <c r="L38" i="1"/>
  <c r="M38" i="1"/>
  <c r="N38" i="1"/>
  <c r="L39" i="1"/>
  <c r="M39" i="1"/>
  <c r="N39" i="1"/>
  <c r="L40" i="1"/>
  <c r="M40" i="1"/>
  <c r="N40" i="1"/>
  <c r="N31" i="1"/>
  <c r="M31" i="1"/>
  <c r="BO3" i="3"/>
  <c r="BR3" i="3"/>
  <c r="J45" i="1" l="1"/>
  <c r="G79" i="4"/>
  <c r="G77" i="4"/>
  <c r="G75" i="4"/>
  <c r="H74" i="4"/>
  <c r="F79" i="4"/>
  <c r="F77" i="4"/>
  <c r="F75" i="4"/>
  <c r="E79" i="4"/>
  <c r="E77" i="4"/>
  <c r="E75" i="4"/>
  <c r="H78" i="4"/>
  <c r="D79" i="4"/>
  <c r="D77" i="4"/>
  <c r="D75" i="4"/>
  <c r="C79" i="4"/>
  <c r="C77" i="4"/>
  <c r="C75" i="4"/>
  <c r="H76" i="4"/>
  <c r="G78" i="4"/>
  <c r="G76" i="4"/>
  <c r="G74" i="4"/>
  <c r="F78" i="4"/>
  <c r="F76" i="4"/>
  <c r="F74" i="4"/>
  <c r="E78" i="4"/>
  <c r="E76" i="4"/>
  <c r="E74" i="4"/>
  <c r="D78" i="4"/>
  <c r="D76" i="4"/>
  <c r="D74" i="4"/>
  <c r="H79" i="4"/>
  <c r="H75" i="4"/>
  <c r="C78" i="4"/>
  <c r="C76" i="4"/>
  <c r="C74" i="4"/>
  <c r="H77" i="4"/>
  <c r="CF9" i="3"/>
  <c r="A10" i="3"/>
  <c r="CD9" i="3"/>
  <c r="AV9" i="3"/>
  <c r="AQ9" i="3"/>
  <c r="AK9" i="3"/>
  <c r="CI9" i="3"/>
  <c r="AY9" i="3"/>
  <c r="AT9" i="3"/>
  <c r="AS9" i="3"/>
  <c r="CG9" i="3"/>
  <c r="AP9" i="3"/>
  <c r="AM9" i="3"/>
  <c r="AW9" i="3"/>
  <c r="AN9" i="3"/>
  <c r="AZ9" i="3"/>
  <c r="BC9" i="3"/>
  <c r="BB9" i="3"/>
  <c r="BF9" i="3"/>
  <c r="BI9" i="3"/>
  <c r="BH9" i="3"/>
  <c r="BL9" i="3"/>
  <c r="BE9" i="3"/>
  <c r="O31" i="1"/>
  <c r="H4" i="3" s="1"/>
  <c r="BQ6" i="3"/>
  <c r="BQ4" i="3"/>
  <c r="BQ9" i="3"/>
  <c r="BQ10" i="3"/>
  <c r="BQ7" i="3"/>
  <c r="BQ5" i="3"/>
  <c r="BQ8" i="3"/>
  <c r="BX10" i="3"/>
  <c r="BX6" i="3"/>
  <c r="BX8" i="3"/>
  <c r="BX5" i="3"/>
  <c r="BX9" i="3"/>
  <c r="BX7" i="3"/>
  <c r="BX4" i="3"/>
  <c r="BT6" i="3"/>
  <c r="BT4" i="3"/>
  <c r="BT10" i="3"/>
  <c r="BT7" i="3"/>
  <c r="BT8" i="3"/>
  <c r="BT5" i="3"/>
  <c r="BT9" i="3"/>
  <c r="BU8" i="3"/>
  <c r="BU4" i="3"/>
  <c r="BU6" i="3"/>
  <c r="BU10" i="3"/>
  <c r="BU7" i="3"/>
  <c r="BU5" i="3"/>
  <c r="BU9" i="3"/>
  <c r="H50" i="1"/>
  <c r="J50" i="1" s="1"/>
  <c r="H48" i="1"/>
  <c r="F57" i="1"/>
  <c r="G53" i="1"/>
  <c r="H53" i="1" s="1"/>
  <c r="G54" i="1"/>
  <c r="H54" i="1" s="1"/>
  <c r="O40" i="1"/>
  <c r="O35" i="1"/>
  <c r="F49" i="1"/>
  <c r="O39" i="1"/>
  <c r="O38" i="1"/>
  <c r="O37" i="1"/>
  <c r="O36" i="1"/>
  <c r="H9" i="3" s="1"/>
  <c r="O34" i="1"/>
  <c r="O33" i="1"/>
  <c r="O32" i="1"/>
  <c r="H47" i="1"/>
  <c r="F51" i="1"/>
  <c r="F56" i="1"/>
  <c r="F52" i="1"/>
  <c r="BX3" i="3"/>
  <c r="BU3" i="3"/>
  <c r="J68" i="1" l="1"/>
  <c r="D82" i="4" a="1"/>
  <c r="A11" i="3"/>
  <c r="CF10" i="3"/>
  <c r="CD10" i="3"/>
  <c r="CI10" i="3"/>
  <c r="AP10" i="3"/>
  <c r="AK10" i="3"/>
  <c r="AW10" i="3"/>
  <c r="AN10" i="3"/>
  <c r="AM10" i="3"/>
  <c r="AS10" i="3"/>
  <c r="AV10" i="3"/>
  <c r="AQ10" i="3"/>
  <c r="CG10" i="3"/>
  <c r="AY10" i="3"/>
  <c r="AT10" i="3"/>
  <c r="AZ10" i="3"/>
  <c r="BB10" i="3"/>
  <c r="BF10" i="3"/>
  <c r="BC10" i="3"/>
  <c r="BH10" i="3"/>
  <c r="BI10" i="3"/>
  <c r="BL10" i="3"/>
  <c r="BE10" i="3"/>
  <c r="BR10" i="3"/>
  <c r="BO10" i="3"/>
  <c r="BN10" i="3"/>
  <c r="BK10" i="3"/>
  <c r="E99" i="1"/>
  <c r="T31" i="1"/>
  <c r="BW4" i="3"/>
  <c r="BW11" i="3"/>
  <c r="BW7" i="3"/>
  <c r="BW10" i="3"/>
  <c r="BW9" i="3"/>
  <c r="BW6" i="3"/>
  <c r="BW5" i="3"/>
  <c r="BW8" i="3"/>
  <c r="CA5" i="3"/>
  <c r="CA9" i="3"/>
  <c r="CA6" i="3"/>
  <c r="CA10" i="3"/>
  <c r="CA4" i="3"/>
  <c r="CA11" i="3"/>
  <c r="CA8" i="3"/>
  <c r="CA7" i="3"/>
  <c r="BZ9" i="3"/>
  <c r="BZ5" i="3"/>
  <c r="BZ10" i="3"/>
  <c r="BZ6" i="3"/>
  <c r="BZ7" i="3"/>
  <c r="BZ4" i="3"/>
  <c r="BZ8" i="3"/>
  <c r="BZ11" i="3"/>
  <c r="P38" i="1"/>
  <c r="U38" i="1" s="1"/>
  <c r="H11" i="3"/>
  <c r="P37" i="1"/>
  <c r="U37" i="1" s="1"/>
  <c r="H10" i="3"/>
  <c r="P35" i="1"/>
  <c r="Q35" i="1" s="1"/>
  <c r="H8" i="3"/>
  <c r="P39" i="1"/>
  <c r="Q39" i="1" s="1"/>
  <c r="H12" i="3"/>
  <c r="P32" i="1"/>
  <c r="U32" i="1" s="1"/>
  <c r="H5" i="3"/>
  <c r="P33" i="1"/>
  <c r="Q33" i="1" s="1"/>
  <c r="H6" i="3"/>
  <c r="P34" i="1"/>
  <c r="U34" i="1" s="1"/>
  <c r="H7" i="3"/>
  <c r="P40" i="1"/>
  <c r="U40" i="1" s="1"/>
  <c r="H13" i="3"/>
  <c r="P36" i="1"/>
  <c r="Q36" i="1" s="1"/>
  <c r="E94" i="1"/>
  <c r="J46" i="1"/>
  <c r="E103" i="1"/>
  <c r="J54" i="1"/>
  <c r="E95" i="1"/>
  <c r="J47" i="1"/>
  <c r="E104" i="1"/>
  <c r="E106" i="1" s="1"/>
  <c r="J55" i="1"/>
  <c r="E102" i="1"/>
  <c r="J53" i="1"/>
  <c r="E96" i="1"/>
  <c r="E97" i="1" s="1"/>
  <c r="J48" i="1"/>
  <c r="G52" i="1"/>
  <c r="H52" i="1" s="1"/>
  <c r="G49" i="1"/>
  <c r="J49" i="1" s="1"/>
  <c r="G56" i="1"/>
  <c r="H56" i="1" s="1"/>
  <c r="J56" i="1" s="1"/>
  <c r="G57" i="1"/>
  <c r="H57" i="1" s="1"/>
  <c r="J69" i="1" s="1"/>
  <c r="G51" i="1"/>
  <c r="J51" i="1" s="1"/>
  <c r="J65" i="1"/>
  <c r="CA3" i="3"/>
  <c r="D87" i="4" l="1"/>
  <c r="D86" i="4"/>
  <c r="D85" i="4"/>
  <c r="D84" i="4"/>
  <c r="D83" i="4"/>
  <c r="D82" i="4"/>
  <c r="CG11" i="3"/>
  <c r="A12" i="3"/>
  <c r="CD11" i="3"/>
  <c r="CF11" i="3"/>
  <c r="AS11" i="3"/>
  <c r="AM11" i="3"/>
  <c r="AV11" i="3"/>
  <c r="AQ11" i="3"/>
  <c r="CI11" i="3"/>
  <c r="AY11" i="3"/>
  <c r="AT11" i="3"/>
  <c r="AP11" i="3"/>
  <c r="AW11" i="3"/>
  <c r="AN11" i="3"/>
  <c r="AK11" i="3"/>
  <c r="AZ11" i="3"/>
  <c r="BB11" i="3"/>
  <c r="BC11" i="3"/>
  <c r="BF11" i="3"/>
  <c r="BE11" i="3"/>
  <c r="BL11" i="3"/>
  <c r="BH11" i="3"/>
  <c r="BI11" i="3"/>
  <c r="BN11" i="3"/>
  <c r="BK11" i="3"/>
  <c r="BR11" i="3"/>
  <c r="BO11" i="3"/>
  <c r="BQ11" i="3"/>
  <c r="BX11" i="3"/>
  <c r="BU11" i="3"/>
  <c r="BT11" i="3"/>
  <c r="G92" i="1"/>
  <c r="Q38" i="1"/>
  <c r="T38" i="1" s="1"/>
  <c r="F69" i="1" s="1"/>
  <c r="Q37" i="1"/>
  <c r="T37" i="1" s="1"/>
  <c r="CC11" i="3"/>
  <c r="CC7" i="3"/>
  <c r="CC12" i="3"/>
  <c r="CC9" i="3"/>
  <c r="CC8" i="3"/>
  <c r="CC5" i="3"/>
  <c r="CC6" i="3"/>
  <c r="CC10" i="3"/>
  <c r="CC4" i="3"/>
  <c r="U36" i="1"/>
  <c r="V36" i="1" s="1"/>
  <c r="G103" i="1" s="1"/>
  <c r="Q32" i="1"/>
  <c r="T32" i="1" s="1"/>
  <c r="U35" i="1"/>
  <c r="V35" i="1" s="1"/>
  <c r="G99" i="1" s="1"/>
  <c r="Q34" i="1"/>
  <c r="T34" i="1" s="1"/>
  <c r="U33" i="1"/>
  <c r="V33" i="1" s="1"/>
  <c r="G95" i="1" s="1"/>
  <c r="U39" i="1"/>
  <c r="V39" i="1" s="1"/>
  <c r="G107" i="1" s="1"/>
  <c r="H15" i="3"/>
  <c r="Q40" i="1"/>
  <c r="T40" i="1" s="1"/>
  <c r="G69" i="1" s="1"/>
  <c r="E107" i="1"/>
  <c r="J57" i="1"/>
  <c r="E101" i="1"/>
  <c r="J52" i="1"/>
  <c r="D92" i="1"/>
  <c r="E105" i="1"/>
  <c r="J66" i="1"/>
  <c r="E100" i="1"/>
  <c r="J67" i="1"/>
  <c r="T35" i="1"/>
  <c r="T39" i="1"/>
  <c r="T33" i="1"/>
  <c r="T36" i="1"/>
  <c r="D107" i="1" l="1"/>
  <c r="D103" i="1"/>
  <c r="D95" i="1"/>
  <c r="A13" i="3"/>
  <c r="CD12" i="3"/>
  <c r="CF12" i="3"/>
  <c r="AY12" i="3"/>
  <c r="AT12" i="3"/>
  <c r="AP12" i="3"/>
  <c r="AK12" i="3"/>
  <c r="AW12" i="3"/>
  <c r="AN12" i="3"/>
  <c r="AM12" i="3"/>
  <c r="CG12" i="3"/>
  <c r="AS12" i="3"/>
  <c r="CI12" i="3"/>
  <c r="AV12" i="3"/>
  <c r="AQ12" i="3"/>
  <c r="AZ12" i="3"/>
  <c r="BC12" i="3"/>
  <c r="BB12" i="3"/>
  <c r="BF12" i="3"/>
  <c r="BE12" i="3"/>
  <c r="BI12" i="3"/>
  <c r="BH12" i="3"/>
  <c r="BL12" i="3"/>
  <c r="BO12" i="3"/>
  <c r="BR12" i="3"/>
  <c r="BN12" i="3"/>
  <c r="BK12" i="3"/>
  <c r="BQ12" i="3"/>
  <c r="BU12" i="3"/>
  <c r="BT12" i="3"/>
  <c r="BX12" i="3"/>
  <c r="BZ12" i="3"/>
  <c r="BW12" i="3"/>
  <c r="CA12" i="3"/>
  <c r="V37" i="1"/>
  <c r="G98" i="1" s="1"/>
  <c r="G100" i="1" s="1"/>
  <c r="V38" i="1"/>
  <c r="G101" i="1" s="1"/>
  <c r="G105" i="1" s="1"/>
  <c r="V34" i="1"/>
  <c r="G96" i="1" s="1"/>
  <c r="J96" i="1" s="1"/>
  <c r="E21" i="3" s="1"/>
  <c r="V32" i="1"/>
  <c r="G93" i="1" s="1"/>
  <c r="J93" i="1" s="1"/>
  <c r="E19" i="3" s="1"/>
  <c r="V40" i="1"/>
  <c r="G104" i="1" s="1"/>
  <c r="J104" i="1" s="1"/>
  <c r="E27" i="3" s="1"/>
  <c r="E65" i="1"/>
  <c r="D66" i="1"/>
  <c r="E67" i="1"/>
  <c r="F67" i="1"/>
  <c r="F66" i="1"/>
  <c r="G66" i="1"/>
  <c r="E68" i="1"/>
  <c r="G102" i="1"/>
  <c r="D98" i="1"/>
  <c r="D100" i="1" s="1"/>
  <c r="H67" i="1"/>
  <c r="D101" i="1"/>
  <c r="D105" i="1" s="1"/>
  <c r="D104" i="1"/>
  <c r="D106" i="1" s="1"/>
  <c r="H68" i="1"/>
  <c r="D96" i="1"/>
  <c r="D97" i="1" s="1"/>
  <c r="D99" i="1"/>
  <c r="D102" i="1" s="1"/>
  <c r="D93" i="1"/>
  <c r="D94" i="1" s="1"/>
  <c r="CF13" i="3" l="1"/>
  <c r="A14" i="3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CD13" i="3"/>
  <c r="AW13" i="3"/>
  <c r="AT13" i="3"/>
  <c r="CG13" i="3"/>
  <c r="AN13" i="3"/>
  <c r="AS13" i="3"/>
  <c r="CI13" i="3"/>
  <c r="AV13" i="3"/>
  <c r="AQ13" i="3"/>
  <c r="AK13" i="3"/>
  <c r="AY13" i="3"/>
  <c r="AP13" i="3"/>
  <c r="AM13" i="3"/>
  <c r="AZ13" i="3"/>
  <c r="BC13" i="3"/>
  <c r="BB13" i="3"/>
  <c r="BF13" i="3"/>
  <c r="BI13" i="3"/>
  <c r="BH13" i="3"/>
  <c r="BL13" i="3"/>
  <c r="BE13" i="3"/>
  <c r="BN13" i="3"/>
  <c r="BR13" i="3"/>
  <c r="BK13" i="3"/>
  <c r="BO13" i="3"/>
  <c r="BT13" i="3"/>
  <c r="BU13" i="3"/>
  <c r="BQ13" i="3"/>
  <c r="BX13" i="3"/>
  <c r="BW13" i="3"/>
  <c r="CA13" i="3"/>
  <c r="BZ13" i="3"/>
  <c r="CC13" i="3"/>
  <c r="G94" i="1"/>
  <c r="J94" i="1" s="1"/>
  <c r="H19" i="3" s="1"/>
  <c r="L19" i="3" s="1"/>
  <c r="G97" i="1"/>
  <c r="J97" i="1" s="1"/>
  <c r="H21" i="3" s="1"/>
  <c r="L21" i="3" s="1"/>
  <c r="G106" i="1"/>
  <c r="J106" i="1" s="1"/>
  <c r="H27" i="3" s="1"/>
  <c r="L27" i="3" s="1"/>
  <c r="C74" i="1" a="1"/>
  <c r="AH5" i="3" l="1"/>
  <c r="AH7" i="3"/>
  <c r="AH13" i="3"/>
  <c r="H75" i="1"/>
  <c r="H79" i="1"/>
  <c r="E76" i="1"/>
  <c r="C76" i="1"/>
  <c r="G76" i="1"/>
  <c r="G79" i="1"/>
  <c r="H74" i="1"/>
  <c r="C74" i="1"/>
  <c r="F78" i="1"/>
  <c r="D79" i="1"/>
  <c r="D77" i="1"/>
  <c r="D75" i="1"/>
  <c r="C79" i="1"/>
  <c r="F79" i="1"/>
  <c r="D74" i="1"/>
  <c r="G74" i="1"/>
  <c r="E78" i="1"/>
  <c r="H78" i="1"/>
  <c r="E79" i="1"/>
  <c r="G77" i="1"/>
  <c r="D78" i="1"/>
  <c r="G78" i="1"/>
  <c r="C77" i="1"/>
  <c r="F77" i="1"/>
  <c r="C78" i="1"/>
  <c r="F76" i="1"/>
  <c r="F74" i="1"/>
  <c r="H77" i="1"/>
  <c r="H76" i="1"/>
  <c r="E77" i="1"/>
  <c r="G75" i="1"/>
  <c r="D76" i="1"/>
  <c r="C75" i="1"/>
  <c r="F75" i="1"/>
  <c r="E74" i="1"/>
  <c r="E75" i="1"/>
  <c r="D82" i="1" l="1" a="1"/>
  <c r="D85" i="1" l="1"/>
  <c r="D82" i="1"/>
  <c r="D87" i="1"/>
  <c r="F107" i="1" s="1"/>
  <c r="D83" i="1"/>
  <c r="D84" i="1"/>
  <c r="D86" i="1"/>
  <c r="F104" i="4" l="1"/>
  <c r="H104" i="4" s="1"/>
  <c r="F103" i="4"/>
  <c r="F102" i="4"/>
  <c r="F98" i="4"/>
  <c r="F99" i="4"/>
  <c r="F97" i="4"/>
  <c r="F95" i="4"/>
  <c r="F96" i="4"/>
  <c r="H96" i="4" s="1"/>
  <c r="F94" i="4"/>
  <c r="F107" i="4"/>
  <c r="F105" i="4"/>
  <c r="F106" i="4"/>
  <c r="H106" i="4" s="1"/>
  <c r="F92" i="4"/>
  <c r="F93" i="4"/>
  <c r="H93" i="4" s="1"/>
  <c r="F101" i="4"/>
  <c r="F100" i="4"/>
  <c r="F97" i="1"/>
  <c r="F98" i="1"/>
  <c r="F99" i="1"/>
  <c r="I99" i="1" s="1"/>
  <c r="F106" i="1"/>
  <c r="H106" i="1" s="1"/>
  <c r="G27" i="3" s="1"/>
  <c r="I107" i="1"/>
  <c r="F105" i="1"/>
  <c r="H105" i="1" s="1"/>
  <c r="F102" i="1"/>
  <c r="F103" i="1"/>
  <c r="I103" i="1" s="1"/>
  <c r="J103" i="1" s="1"/>
  <c r="F104" i="1"/>
  <c r="H104" i="1" s="1"/>
  <c r="D27" i="3" s="1"/>
  <c r="F95" i="1"/>
  <c r="I95" i="1" s="1"/>
  <c r="F96" i="1"/>
  <c r="H96" i="1" s="1"/>
  <c r="D21" i="3" s="1"/>
  <c r="F94" i="1"/>
  <c r="F93" i="1"/>
  <c r="H93" i="1" s="1"/>
  <c r="D19" i="3" s="1"/>
  <c r="F101" i="1"/>
  <c r="I101" i="1" s="1"/>
  <c r="F100" i="1"/>
  <c r="L92" i="1" l="1"/>
  <c r="H99" i="4"/>
  <c r="I99" i="4"/>
  <c r="J99" i="4" s="1"/>
  <c r="L105" i="4"/>
  <c r="I105" i="4"/>
  <c r="J105" i="4" s="1"/>
  <c r="H105" i="4"/>
  <c r="I95" i="4"/>
  <c r="J95" i="4" s="1"/>
  <c r="H95" i="4"/>
  <c r="I98" i="4"/>
  <c r="J98" i="4" s="1"/>
  <c r="H98" i="4"/>
  <c r="H94" i="4"/>
  <c r="L94" i="4"/>
  <c r="I102" i="4"/>
  <c r="J102" i="4" s="1"/>
  <c r="L102" i="4"/>
  <c r="H102" i="4"/>
  <c r="H97" i="4"/>
  <c r="L97" i="4"/>
  <c r="I103" i="4"/>
  <c r="J103" i="4" s="1"/>
  <c r="H103" i="4"/>
  <c r="I107" i="4"/>
  <c r="J107" i="4" s="1"/>
  <c r="H107" i="4"/>
  <c r="H100" i="4"/>
  <c r="I100" i="4"/>
  <c r="J100" i="4" s="1"/>
  <c r="L100" i="4"/>
  <c r="H101" i="4"/>
  <c r="I101" i="4"/>
  <c r="J101" i="4" s="1"/>
  <c r="I92" i="4"/>
  <c r="J92" i="4" s="1"/>
  <c r="H92" i="4"/>
  <c r="L92" i="4"/>
  <c r="K27" i="3"/>
  <c r="AG13" i="3" s="1"/>
  <c r="I100" i="1"/>
  <c r="J100" i="1" s="1"/>
  <c r="H24" i="3" s="1"/>
  <c r="L100" i="1"/>
  <c r="H94" i="1"/>
  <c r="G19" i="3" s="1"/>
  <c r="K19" i="3" s="1"/>
  <c r="L94" i="1"/>
  <c r="L105" i="1"/>
  <c r="L102" i="1"/>
  <c r="H97" i="1"/>
  <c r="G21" i="3" s="1"/>
  <c r="K21" i="3" s="1"/>
  <c r="L97" i="1"/>
  <c r="J92" i="1"/>
  <c r="E18" i="3" s="1"/>
  <c r="L18" i="3" s="1"/>
  <c r="J101" i="1"/>
  <c r="E25" i="3" s="1"/>
  <c r="H101" i="1"/>
  <c r="D25" i="3" s="1"/>
  <c r="I102" i="1"/>
  <c r="J102" i="1" s="1"/>
  <c r="H22" i="3" s="1"/>
  <c r="H102" i="1"/>
  <c r="G22" i="3" s="1"/>
  <c r="G25" i="3"/>
  <c r="I105" i="1"/>
  <c r="J98" i="1"/>
  <c r="D24" i="3"/>
  <c r="H107" i="1"/>
  <c r="D26" i="3" s="1"/>
  <c r="K26" i="3" s="1"/>
  <c r="J107" i="1"/>
  <c r="E26" i="3" s="1"/>
  <c r="L26" i="3" s="1"/>
  <c r="H100" i="1"/>
  <c r="G24" i="3" s="1"/>
  <c r="H103" i="1"/>
  <c r="D23" i="3" s="1"/>
  <c r="K23" i="3" s="1"/>
  <c r="E23" i="3"/>
  <c r="L23" i="3" s="1"/>
  <c r="H92" i="1"/>
  <c r="D18" i="3" s="1"/>
  <c r="H99" i="1"/>
  <c r="D22" i="3" s="1"/>
  <c r="J99" i="1"/>
  <c r="E22" i="3" s="1"/>
  <c r="H95" i="1"/>
  <c r="D20" i="3" s="1"/>
  <c r="K20" i="3" s="1"/>
  <c r="J95" i="1"/>
  <c r="E20" i="3" s="1"/>
  <c r="L20" i="3" s="1"/>
  <c r="E24" i="3" l="1"/>
  <c r="L24" i="3" s="1"/>
  <c r="AH10" i="3" s="1"/>
  <c r="K98" i="1"/>
  <c r="K25" i="3"/>
  <c r="AG11" i="3" s="1"/>
  <c r="K22" i="3"/>
  <c r="AG8" i="3" s="1"/>
  <c r="L22" i="3"/>
  <c r="AH8" i="3" s="1"/>
  <c r="K24" i="3"/>
  <c r="AG10" i="3" s="1"/>
  <c r="AH9" i="3"/>
  <c r="AH4" i="3"/>
  <c r="AG7" i="3"/>
  <c r="AG9" i="3"/>
  <c r="AG5" i="3"/>
  <c r="K18" i="3"/>
  <c r="AG4" i="3" s="1"/>
  <c r="AH6" i="3"/>
  <c r="AH12" i="3"/>
  <c r="AG6" i="3"/>
  <c r="AG12" i="3"/>
  <c r="J105" i="1"/>
  <c r="H25" i="3" s="1"/>
  <c r="L25" i="3" s="1"/>
  <c r="AH11" i="3" l="1"/>
</calcChain>
</file>

<file path=xl/sharedStrings.xml><?xml version="1.0" encoding="utf-8"?>
<sst xmlns="http://schemas.openxmlformats.org/spreadsheetml/2006/main" count="421" uniqueCount="161">
  <si>
    <t>Metoda Pomaka</t>
  </si>
  <si>
    <t>Zadano:</t>
  </si>
  <si>
    <t>Loa</t>
  </si>
  <si>
    <t>B</t>
  </si>
  <si>
    <t>D</t>
  </si>
  <si>
    <t>w</t>
  </si>
  <si>
    <t>ro</t>
  </si>
  <si>
    <t>pD1</t>
  </si>
  <si>
    <t>pD2</t>
  </si>
  <si>
    <t>pD3</t>
  </si>
  <si>
    <t>LC3</t>
  </si>
  <si>
    <t>m</t>
  </si>
  <si>
    <t>kNm</t>
  </si>
  <si>
    <t>M</t>
  </si>
  <si>
    <t>Tgaz</t>
  </si>
  <si>
    <r>
      <t>N/mm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</si>
  <si>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kg/mm</t>
    </r>
    <r>
      <rPr>
        <vertAlign val="superscript"/>
        <sz val="11"/>
        <color theme="1"/>
        <rFont val="Calibri"/>
        <family val="2"/>
        <charset val="238"/>
        <scheme val="minor"/>
      </rPr>
      <t>3</t>
    </r>
  </si>
  <si>
    <t>mm</t>
  </si>
  <si>
    <t>T</t>
  </si>
  <si>
    <t>LC1(Hogg)</t>
  </si>
  <si>
    <t>LC2(Sagg)</t>
  </si>
  <si>
    <t>pB</t>
  </si>
  <si>
    <t>g</t>
  </si>
  <si>
    <r>
      <t>mm/s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</si>
  <si>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Greda 1-1'</t>
  </si>
  <si>
    <t>Greda 1-2</t>
  </si>
  <si>
    <t>Greda 2-2'</t>
  </si>
  <si>
    <t>Greda 2-3</t>
  </si>
  <si>
    <t>Greda 3-5</t>
  </si>
  <si>
    <t>Greda 5-5'</t>
  </si>
  <si>
    <t>Greda 3-4</t>
  </si>
  <si>
    <t>Greda 4-6</t>
  </si>
  <si>
    <t>Greda 6-6'</t>
  </si>
  <si>
    <t>Greda 5-6</t>
  </si>
  <si>
    <t>L(mm)</t>
  </si>
  <si>
    <r>
      <t>E(N/mm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</si>
  <si>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tp (mm)</t>
  </si>
  <si>
    <r>
      <t>I (mm</t>
    </r>
    <r>
      <rPr>
        <vertAlign val="super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</si>
  <si>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t>be (mm)</t>
  </si>
  <si>
    <t>hw (mm)</t>
  </si>
  <si>
    <t>tw (mm)</t>
  </si>
  <si>
    <t>bf (mm)</t>
  </si>
  <si>
    <t>tf (mm)</t>
  </si>
  <si>
    <t>NA (mm)</t>
  </si>
  <si>
    <r>
      <t>Ap(mm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</si>
  <si>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Aw(mm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</si>
  <si>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Af(mm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</si>
  <si>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A(mm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</si>
  <si>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Profil</t>
  </si>
  <si>
    <t>T 600x12/200x15</t>
  </si>
  <si>
    <t>ki_j=kj_i(Nmm)</t>
  </si>
  <si>
    <t>T 400x10/150x12</t>
  </si>
  <si>
    <t>Momenti  upetosti</t>
  </si>
  <si>
    <t>m 1_1'</t>
  </si>
  <si>
    <t>m 1_2=m 2_1</t>
  </si>
  <si>
    <t>m 2_2'</t>
  </si>
  <si>
    <t>m 2_3=m 3_2</t>
  </si>
  <si>
    <t>m 3_4</t>
  </si>
  <si>
    <t>m 3_5</t>
  </si>
  <si>
    <t>m 4_3</t>
  </si>
  <si>
    <t>m 4_6</t>
  </si>
  <si>
    <t>m 5_3</t>
  </si>
  <si>
    <t>m 5_5'</t>
  </si>
  <si>
    <t>m 6_4</t>
  </si>
  <si>
    <t>m 6_6'</t>
  </si>
  <si>
    <t>L (mm)</t>
  </si>
  <si>
    <t>q=p*w (N/mm)</t>
  </si>
  <si>
    <t>p</t>
  </si>
  <si>
    <t>Predznak</t>
  </si>
  <si>
    <t>m (Nmm)</t>
  </si>
  <si>
    <t>m 5_6=m 6_5</t>
  </si>
  <si>
    <t>Sustav jednadžbi k*fi=m</t>
  </si>
  <si>
    <t>fi1</t>
  </si>
  <si>
    <t>fi2</t>
  </si>
  <si>
    <t>fi3</t>
  </si>
  <si>
    <t>fi4</t>
  </si>
  <si>
    <t>fi5</t>
  </si>
  <si>
    <t>fi6</t>
  </si>
  <si>
    <t>č1</t>
  </si>
  <si>
    <t>č2</t>
  </si>
  <si>
    <t>č3</t>
  </si>
  <si>
    <t>č4</t>
  </si>
  <si>
    <t>č5</t>
  </si>
  <si>
    <t>č6</t>
  </si>
  <si>
    <t>fi</t>
  </si>
  <si>
    <t>k</t>
  </si>
  <si>
    <t>k'</t>
  </si>
  <si>
    <t>fi=k'*m</t>
  </si>
  <si>
    <t>M 1_1'</t>
  </si>
  <si>
    <t>M 1_2</t>
  </si>
  <si>
    <t>M 2_1</t>
  </si>
  <si>
    <t>M 2_2'</t>
  </si>
  <si>
    <t>M 2_3</t>
  </si>
  <si>
    <t>M 3_2</t>
  </si>
  <si>
    <t>M 3_4</t>
  </si>
  <si>
    <t>M 3_5</t>
  </si>
  <si>
    <t>M 4_3</t>
  </si>
  <si>
    <t>M 4_6</t>
  </si>
  <si>
    <t>M 5_3</t>
  </si>
  <si>
    <t>M 5_5'</t>
  </si>
  <si>
    <t>M 5_6</t>
  </si>
  <si>
    <t>M 6_4</t>
  </si>
  <si>
    <t>M 6_5</t>
  </si>
  <si>
    <t>M 6_6'</t>
  </si>
  <si>
    <t>kij (Nmm)</t>
  </si>
  <si>
    <t>mij (Nmm)</t>
  </si>
  <si>
    <t>ulazni podatci</t>
  </si>
  <si>
    <t>međurezultati</t>
  </si>
  <si>
    <t>konačni rezultati</t>
  </si>
  <si>
    <r>
      <t>Wij (mm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</si>
  <si>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F2NA</t>
  </si>
  <si>
    <t>Wfij (mm3)</t>
  </si>
  <si>
    <t>Momenti u čvorovima/polurasponima</t>
  </si>
  <si>
    <t>Mčij (Nmm)</t>
  </si>
  <si>
    <r>
      <t>Ϭčij (N/mm</t>
    </r>
    <r>
      <rPr>
        <vertAlign val="superscript"/>
        <sz val="11"/>
        <color theme="1"/>
        <rFont val="Calibri"/>
        <family val="2"/>
        <charset val="238"/>
      </rPr>
      <t>2</t>
    </r>
    <r>
      <rPr>
        <sz val="11"/>
        <color theme="1"/>
        <rFont val="Calibri"/>
        <family val="2"/>
        <charset val="238"/>
      </rPr>
      <t>)</t>
    </r>
  </si>
  <si>
    <t>Mpij (Nmm)</t>
  </si>
  <si>
    <r>
      <t>Ϭpij (N/mm</t>
    </r>
    <r>
      <rPr>
        <vertAlign val="superscript"/>
        <sz val="11"/>
        <color theme="1"/>
        <rFont val="Calibri"/>
        <family val="2"/>
        <charset val="238"/>
      </rPr>
      <t>2</t>
    </r>
    <r>
      <rPr>
        <sz val="11"/>
        <color theme="1"/>
        <rFont val="Calibri"/>
        <family val="2"/>
        <charset val="238"/>
      </rPr>
      <t>)</t>
    </r>
  </si>
  <si>
    <t>rot</t>
  </si>
  <si>
    <t>maestro naprezanja</t>
  </si>
  <si>
    <t>cvor 1_1´</t>
  </si>
  <si>
    <t>sigF</t>
  </si>
  <si>
    <t>pocetak</t>
  </si>
  <si>
    <t>kraj</t>
  </si>
  <si>
    <t>cvor1_2</t>
  </si>
  <si>
    <t>cvor2_2´</t>
  </si>
  <si>
    <t>cvor2_3</t>
  </si>
  <si>
    <t>cvor3_4</t>
  </si>
  <si>
    <t>cvor3_5</t>
  </si>
  <si>
    <t>cvor5_5´</t>
  </si>
  <si>
    <t>cvor5_6</t>
  </si>
  <si>
    <t>cvor6_6´</t>
  </si>
  <si>
    <t>sredina</t>
  </si>
  <si>
    <t xml:space="preserve">sredina </t>
  </si>
  <si>
    <t>cvor4_6</t>
  </si>
  <si>
    <t>HW</t>
  </si>
  <si>
    <t>TW</t>
  </si>
  <si>
    <t>BF</t>
  </si>
  <si>
    <t>TF</t>
  </si>
  <si>
    <t>BF/TF</t>
  </si>
  <si>
    <t>Ϭčij (N/mm2)</t>
  </si>
  <si>
    <t>Ϭpij (N/mm2)</t>
  </si>
  <si>
    <t>A</t>
  </si>
  <si>
    <t>Okvir</t>
  </si>
  <si>
    <t>Ϭcrit</t>
  </si>
  <si>
    <t>HW/TW</t>
  </si>
  <si>
    <t>BF/HW</t>
  </si>
  <si>
    <t>Min</t>
  </si>
  <si>
    <t>Max</t>
  </si>
  <si>
    <t>TF/TW</t>
  </si>
  <si>
    <t>Ϭčij_max</t>
  </si>
  <si>
    <t>Ϭpij_max</t>
  </si>
  <si>
    <t>Ϭmaxč</t>
  </si>
  <si>
    <t>Ϭmaxp</t>
  </si>
  <si>
    <t>num g</t>
  </si>
  <si>
    <t>icol g1</t>
  </si>
  <si>
    <t>beam rows</t>
  </si>
  <si>
    <t>m 6_5</t>
  </si>
  <si>
    <t>m 5_6</t>
  </si>
  <si>
    <t>Masa</t>
  </si>
  <si>
    <t>rho celika</t>
  </si>
  <si>
    <t>Masa obje polovice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</si>
</sst>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00"/>
    <numFmt numFmtId="167" formatCode="0E+00"/>
  </numFmts>
  <fonts count="9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38"/>
    </font>
    <font>
      <vertAlign val="superscript"/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2" borderId="0" xfId="0" applyFill="1"/>
    <xf numFmtId="0" fontId="2" fillId="0" borderId="0" xfId="0" applyFont="1"/>
    <xf numFmtId="0" fontId="0" fillId="0" borderId="0" xfId="0" applyBorder="1"/>
    <xf numFmtId="11" fontId="0" fillId="0" borderId="0" xfId="0" applyNumberFormat="1"/>
    <xf numFmtId="0" fontId="0" fillId="3" borderId="1" xfId="0" applyFill="1" applyBorder="1"/>
    <xf numFmtId="0" fontId="0" fillId="4" borderId="1" xfId="0" applyFill="1" applyBorder="1"/>
    <xf numFmtId="0" fontId="0" fillId="0" borderId="0" xfId="0" applyFill="1" applyBorder="1"/>
    <xf numFmtId="0" fontId="0" fillId="5" borderId="0" xfId="0" applyFill="1"/>
    <xf numFmtId="0" fontId="0" fillId="3" borderId="0" xfId="0" applyFill="1"/>
    <xf numFmtId="164" fontId="0" fillId="0" borderId="1" xfId="0" applyNumberFormat="1" applyBorder="1"/>
    <xf numFmtId="11" fontId="0" fillId="0" borderId="1" xfId="0" applyNumberFormat="1" applyBorder="1"/>
    <xf numFmtId="0" fontId="4" fillId="3" borderId="1" xfId="0" applyFont="1" applyFill="1" applyBorder="1"/>
    <xf numFmtId="165" fontId="0" fillId="0" borderId="1" xfId="0" applyNumberFormat="1" applyBorder="1"/>
    <xf numFmtId="166" fontId="0" fillId="0" borderId="1" xfId="0" applyNumberFormat="1" applyBorder="1"/>
    <xf numFmtId="2" fontId="0" fillId="0" borderId="1" xfId="0" applyNumberFormat="1" applyBorder="1"/>
    <xf numFmtId="11" fontId="0" fillId="0" borderId="1" xfId="0" applyNumberFormat="1" applyFill="1" applyBorder="1"/>
    <xf numFmtId="167" fontId="0" fillId="2" borderId="0" xfId="0" applyNumberFormat="1" applyFill="1"/>
    <xf numFmtId="164" fontId="0" fillId="6" borderId="0" xfId="0" applyNumberFormat="1" applyFill="1"/>
    <xf numFmtId="0" fontId="0" fillId="6" borderId="0" xfId="0" applyFill="1"/>
    <xf numFmtId="164" fontId="0" fillId="7" borderId="0" xfId="0" applyNumberFormat="1" applyFill="1"/>
    <xf numFmtId="0" fontId="0" fillId="7" borderId="0" xfId="0" applyFill="1"/>
    <xf numFmtId="164" fontId="0" fillId="8" borderId="0" xfId="0" applyNumberFormat="1" applyFill="1"/>
    <xf numFmtId="0" fontId="0" fillId="8" borderId="0" xfId="0" applyFill="1"/>
    <xf numFmtId="164" fontId="0" fillId="9" borderId="0" xfId="0" applyNumberFormat="1" applyFill="1"/>
    <xf numFmtId="0" fontId="0" fillId="9" borderId="0" xfId="0" applyFill="1"/>
    <xf numFmtId="164" fontId="0" fillId="10" borderId="0" xfId="0" applyNumberFormat="1" applyFill="1"/>
    <xf numFmtId="0" fontId="0" fillId="10" borderId="0" xfId="0" applyFill="1"/>
    <xf numFmtId="0" fontId="0" fillId="2" borderId="1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" xfId="0" applyFill="1" applyBorder="1"/>
    <xf numFmtId="0" fontId="0" fillId="0" borderId="5" xfId="0" applyBorder="1" applyAlignment="1">
      <alignment horizontal="center"/>
    </xf>
    <xf numFmtId="0" fontId="0" fillId="0" borderId="10" xfId="0" applyFill="1" applyBorder="1"/>
    <xf numFmtId="0" fontId="0" fillId="0" borderId="2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0" borderId="26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" xfId="0" applyFill="1" applyBorder="1"/>
    <xf numFmtId="0" fontId="0" fillId="0" borderId="29" xfId="0" applyBorder="1"/>
    <xf numFmtId="0" fontId="0" fillId="0" borderId="30" xfId="0" applyBorder="1"/>
    <xf numFmtId="0" fontId="0" fillId="0" borderId="29" xfId="0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6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4" xfId="0" applyNumberFormat="1" applyBorder="1"/>
    <xf numFmtId="2" fontId="0" fillId="0" borderId="5" xfId="0" applyNumberFormat="1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0" fontId="0" fillId="0" borderId="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5" borderId="4" xfId="0" applyFill="1" applyBorder="1" applyAlignment="1">
      <alignment horizontal="center"/>
    </xf>
    <xf numFmtId="2" fontId="0" fillId="2" borderId="23" xfId="0" applyNumberFormat="1" applyFill="1" applyBorder="1"/>
    <xf numFmtId="2" fontId="0" fillId="2" borderId="24" xfId="0" applyNumberFormat="1" applyFill="1" applyBorder="1"/>
    <xf numFmtId="2" fontId="0" fillId="2" borderId="2" xfId="0" applyNumberFormat="1" applyFill="1" applyBorder="1"/>
    <xf numFmtId="2" fontId="0" fillId="2" borderId="7" xfId="0" applyNumberFormat="1" applyFill="1" applyBorder="1"/>
    <xf numFmtId="2" fontId="0" fillId="2" borderId="1" xfId="0" applyNumberFormat="1" applyFill="1" applyBorder="1"/>
    <xf numFmtId="2" fontId="0" fillId="2" borderId="18" xfId="0" applyNumberFormat="1" applyFill="1" applyBorder="1"/>
    <xf numFmtId="0" fontId="6" fillId="3" borderId="3" xfId="0" applyFont="1" applyFill="1" applyBorder="1"/>
    <xf numFmtId="0" fontId="0" fillId="5" borderId="1" xfId="0" applyFill="1" applyBorder="1"/>
    <xf numFmtId="0" fontId="3" fillId="0" borderId="1" xfId="0" applyFont="1" applyBorder="1"/>
    <xf numFmtId="0" fontId="7" fillId="0" borderId="0" xfId="0" applyFont="1"/>
    <xf numFmtId="0" fontId="0" fillId="0" borderId="37" xfId="0" applyBorder="1"/>
    <xf numFmtId="0" fontId="0" fillId="0" borderId="38" xfId="0" applyBorder="1"/>
    <xf numFmtId="0" fontId="6" fillId="0" borderId="7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0" fillId="2" borderId="39" xfId="0" applyFill="1" applyBorder="1"/>
  </cellXfs>
  <cellStyles count="1">
    <cellStyle name="Normalno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33</xdr:row>
          <xdr:rowOff>190500</xdr:rowOff>
        </xdr:from>
        <xdr:to>
          <xdr:col>4</xdr:col>
          <xdr:colOff>0</xdr:colOff>
          <xdr:row>35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All in One</a:t>
              </a:r>
            </a:p>
            <a:p>
              <a:pPr algn="ctr" rtl="0">
                <a:defRPr sz="1000"/>
              </a:pPr>
              <a:endParaRPr lang="hr-H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35</xdr:row>
          <xdr:rowOff>180975</xdr:rowOff>
        </xdr:from>
        <xdr:to>
          <xdr:col>4</xdr:col>
          <xdr:colOff>0</xdr:colOff>
          <xdr:row>37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  <a:p>
              <a:pPr algn="ctr" rtl="0">
                <a:defRPr sz="1000"/>
              </a:pPr>
              <a:endParaRPr lang="hr-H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Y133"/>
  <sheetViews>
    <sheetView tabSelected="1" topLeftCell="C67" zoomScale="85" zoomScaleNormal="85" workbookViewId="0">
      <selection activeCell="M83" sqref="M83"/>
    </sheetView>
  </sheetViews>
  <sheetFormatPr defaultRowHeight="15" x14ac:dyDescent="0.25"/>
  <cols>
    <col min="3" max="3" width="18.28515625" customWidth="1"/>
    <col min="4" max="4" width="18" customWidth="1"/>
    <col min="5" max="5" width="17.7109375" customWidth="1"/>
    <col min="6" max="6" width="16.28515625" customWidth="1"/>
    <col min="7" max="7" width="13.85546875" customWidth="1"/>
    <col min="8" max="8" width="15" customWidth="1"/>
    <col min="9" max="9" width="12" customWidth="1"/>
    <col min="10" max="10" width="12" bestFit="1" customWidth="1"/>
    <col min="11" max="11" width="11" bestFit="1" customWidth="1"/>
    <col min="12" max="12" width="16.85546875" bestFit="1" customWidth="1"/>
    <col min="17" max="17" width="12.5703125" bestFit="1" customWidth="1"/>
    <col min="20" max="20" width="14.42578125" customWidth="1"/>
    <col min="22" max="22" width="11.85546875" customWidth="1"/>
    <col min="24" max="24" width="11.28515625" bestFit="1" customWidth="1"/>
    <col min="25" max="25" width="12.28515625" bestFit="1" customWidth="1"/>
  </cols>
  <sheetData>
    <row r="2" spans="2:15" ht="15.75" x14ac:dyDescent="0.25">
      <c r="B2" s="95" t="s">
        <v>0</v>
      </c>
    </row>
    <row r="3" spans="2:15" x14ac:dyDescent="0.25">
      <c r="N3" s="9"/>
      <c r="O3" t="s">
        <v>106</v>
      </c>
    </row>
    <row r="4" spans="2:15" x14ac:dyDescent="0.25">
      <c r="N4" s="2"/>
      <c r="O4" t="s">
        <v>107</v>
      </c>
    </row>
    <row r="5" spans="2:15" x14ac:dyDescent="0.25">
      <c r="N5" s="10"/>
      <c r="O5" t="s">
        <v>108</v>
      </c>
    </row>
    <row r="10" spans="2:15" x14ac:dyDescent="0.25">
      <c r="B10" t="s">
        <v>1</v>
      </c>
    </row>
    <row r="12" spans="2:15" x14ac:dyDescent="0.25">
      <c r="B12" s="1" t="s">
        <v>2</v>
      </c>
      <c r="C12" s="93">
        <v>120</v>
      </c>
      <c r="D12" s="1" t="s">
        <v>11</v>
      </c>
      <c r="F12" t="s">
        <v>159</v>
      </c>
      <c r="G12">
        <v>8000</v>
      </c>
    </row>
    <row r="13" spans="2:15" x14ac:dyDescent="0.25">
      <c r="B13" s="1" t="s">
        <v>3</v>
      </c>
      <c r="C13" s="93">
        <v>24</v>
      </c>
      <c r="D13" s="1" t="s">
        <v>11</v>
      </c>
    </row>
    <row r="14" spans="2:15" x14ac:dyDescent="0.25">
      <c r="B14" s="1" t="s">
        <v>4</v>
      </c>
      <c r="C14" s="93">
        <v>12</v>
      </c>
      <c r="D14" s="1" t="s">
        <v>11</v>
      </c>
    </row>
    <row r="15" spans="2:15" x14ac:dyDescent="0.25">
      <c r="B15" s="94" t="s">
        <v>5</v>
      </c>
      <c r="C15" s="93">
        <v>2250</v>
      </c>
      <c r="D15" s="1" t="s">
        <v>17</v>
      </c>
    </row>
    <row r="16" spans="2:15" x14ac:dyDescent="0.25">
      <c r="B16" s="1" t="s">
        <v>18</v>
      </c>
      <c r="C16" s="93">
        <v>4800</v>
      </c>
      <c r="D16" s="1" t="s">
        <v>17</v>
      </c>
    </row>
    <row r="17" spans="2:25" ht="17.25" x14ac:dyDescent="0.25">
      <c r="B17" s="1" t="s">
        <v>6</v>
      </c>
      <c r="C17" s="93">
        <v>1.0259E-6</v>
      </c>
      <c r="D17" s="1" t="s">
        <v>16</v>
      </c>
    </row>
    <row r="18" spans="2:25" ht="17.25" x14ac:dyDescent="0.25">
      <c r="B18" s="1" t="s">
        <v>117</v>
      </c>
      <c r="C18" s="93">
        <v>1.5</v>
      </c>
      <c r="D18" s="1" t="s">
        <v>16</v>
      </c>
    </row>
    <row r="19" spans="2:25" ht="17.25" x14ac:dyDescent="0.25">
      <c r="B19" s="1" t="s">
        <v>22</v>
      </c>
      <c r="C19" s="93">
        <v>9806.65</v>
      </c>
      <c r="D19" s="1" t="s">
        <v>23</v>
      </c>
    </row>
    <row r="20" spans="2:25" ht="17.25" x14ac:dyDescent="0.25">
      <c r="B20" s="1" t="s">
        <v>21</v>
      </c>
      <c r="C20" s="93">
        <f>C17*C19*C16*10^-3</f>
        <v>4.8291082728E-2</v>
      </c>
      <c r="D20" s="1" t="s">
        <v>15</v>
      </c>
    </row>
    <row r="21" spans="2:25" ht="17.25" x14ac:dyDescent="0.25">
      <c r="B21" s="94" t="s">
        <v>7</v>
      </c>
      <c r="C21" s="93">
        <v>0.13</v>
      </c>
      <c r="D21" s="1" t="s">
        <v>15</v>
      </c>
    </row>
    <row r="22" spans="2:25" ht="17.25" x14ac:dyDescent="0.25">
      <c r="B22" s="94" t="s">
        <v>8</v>
      </c>
      <c r="C22" s="93">
        <v>0.02</v>
      </c>
      <c r="D22" s="1" t="s">
        <v>15</v>
      </c>
    </row>
    <row r="23" spans="2:25" ht="17.25" x14ac:dyDescent="0.25">
      <c r="B23" s="94" t="s">
        <v>9</v>
      </c>
      <c r="C23" s="93">
        <v>1.6E-2</v>
      </c>
      <c r="D23" s="1" t="s">
        <v>15</v>
      </c>
    </row>
    <row r="25" spans="2:25" x14ac:dyDescent="0.25">
      <c r="B25" s="1"/>
      <c r="C25" s="1" t="s">
        <v>19</v>
      </c>
      <c r="D25" s="1" t="s">
        <v>20</v>
      </c>
      <c r="E25" s="1" t="s">
        <v>10</v>
      </c>
      <c r="F25" s="1"/>
    </row>
    <row r="26" spans="2:25" x14ac:dyDescent="0.25">
      <c r="B26" s="1" t="s">
        <v>13</v>
      </c>
      <c r="C26" s="1"/>
      <c r="D26" s="1"/>
      <c r="E26" s="1">
        <v>0</v>
      </c>
      <c r="F26" s="1" t="s">
        <v>12</v>
      </c>
    </row>
    <row r="27" spans="2:25" x14ac:dyDescent="0.25">
      <c r="B27" s="1" t="s">
        <v>14</v>
      </c>
      <c r="C27" s="1">
        <v>4800</v>
      </c>
      <c r="D27" s="1">
        <v>6400</v>
      </c>
      <c r="E27" s="1">
        <v>4800</v>
      </c>
      <c r="F27" s="1" t="s">
        <v>17</v>
      </c>
    </row>
    <row r="30" spans="2:25" ht="17.25" x14ac:dyDescent="0.25">
      <c r="C30" s="1"/>
      <c r="D30" s="1" t="s">
        <v>48</v>
      </c>
      <c r="E30" s="1"/>
      <c r="F30" s="1" t="s">
        <v>36</v>
      </c>
      <c r="G30" s="1" t="s">
        <v>38</v>
      </c>
      <c r="H30" s="1" t="s">
        <v>39</v>
      </c>
      <c r="I30" s="1" t="s">
        <v>40</v>
      </c>
      <c r="J30" s="1" t="s">
        <v>41</v>
      </c>
      <c r="K30" s="1" t="s">
        <v>42</v>
      </c>
      <c r="L30" s="1" t="s">
        <v>44</v>
      </c>
      <c r="M30" s="1" t="s">
        <v>45</v>
      </c>
      <c r="N30" s="1" t="s">
        <v>46</v>
      </c>
      <c r="O30" s="1" t="s">
        <v>47</v>
      </c>
      <c r="P30" s="1" t="s">
        <v>43</v>
      </c>
      <c r="Q30" s="29" t="s">
        <v>37</v>
      </c>
      <c r="R30" s="29" t="s">
        <v>34</v>
      </c>
      <c r="S30" s="29" t="s">
        <v>35</v>
      </c>
      <c r="T30" s="29" t="s">
        <v>50</v>
      </c>
      <c r="U30" s="29" t="s">
        <v>110</v>
      </c>
      <c r="V30" s="29" t="s">
        <v>111</v>
      </c>
      <c r="X30" s="101" t="s">
        <v>158</v>
      </c>
      <c r="Y30" s="101" t="s">
        <v>160</v>
      </c>
    </row>
    <row r="31" spans="2:25" x14ac:dyDescent="0.25">
      <c r="C31" s="1" t="s">
        <v>24</v>
      </c>
      <c r="D31" s="93" t="s">
        <v>49</v>
      </c>
      <c r="E31" s="1"/>
      <c r="F31" s="1">
        <v>10</v>
      </c>
      <c r="G31" s="48">
        <f t="shared" ref="G31:G40" si="0">w</f>
        <v>2250</v>
      </c>
      <c r="H31" s="93">
        <f>Optimizacijski_problem!D4</f>
        <v>600</v>
      </c>
      <c r="I31" s="93">
        <f>Optimizacijski_problem!E4</f>
        <v>12</v>
      </c>
      <c r="J31" s="93">
        <f>Optimizacijski_problem!F4</f>
        <v>200</v>
      </c>
      <c r="K31" s="93">
        <f>Optimizacijski_problem!G4</f>
        <v>15</v>
      </c>
      <c r="L31" s="1">
        <f>G31*F31</f>
        <v>22500</v>
      </c>
      <c r="M31" s="1">
        <f>H31*I31</f>
        <v>7200</v>
      </c>
      <c r="N31" s="1">
        <f>J31*K31</f>
        <v>3000</v>
      </c>
      <c r="O31" s="1">
        <f>L31+M31+N31</f>
        <v>32700</v>
      </c>
      <c r="P31" s="1">
        <f>(0.5*F31*L31+M31*(F31+0.5*H31)+N31*(F31+H31+0.5*K31))/O31</f>
        <v>128.348623853211</v>
      </c>
      <c r="Q31" s="12">
        <f>(G31*F31^3)/12+L31*(0.5*F31-P31)^2+(I31*H31^3)/12+M31*(F31+0.5*H31-P31)^2+(J31*K31^3)/12+N31*(F31+H31+0.5*K31-P31)^2</f>
        <v>1513965825.6880732</v>
      </c>
      <c r="R31" s="1">
        <v>24000</v>
      </c>
      <c r="S31" s="1">
        <v>204000</v>
      </c>
      <c r="T31" s="12">
        <f>2*S31*Q31/R31</f>
        <v>25737419036.697247</v>
      </c>
      <c r="U31" s="1">
        <f>F31+H31+K31-P31</f>
        <v>496.651376146789</v>
      </c>
      <c r="V31" s="12">
        <f>Q31/U31</f>
        <v>3048347.1875865883</v>
      </c>
      <c r="X31">
        <f>O31*R31*$G$12</f>
        <v>6278400000000</v>
      </c>
      <c r="Y31">
        <f>X31</f>
        <v>6278400000000</v>
      </c>
    </row>
    <row r="32" spans="2:25" x14ac:dyDescent="0.25">
      <c r="C32" s="1" t="s">
        <v>25</v>
      </c>
      <c r="D32" s="93" t="s">
        <v>51</v>
      </c>
      <c r="E32" s="1"/>
      <c r="F32" s="1">
        <v>10</v>
      </c>
      <c r="G32" s="48">
        <f t="shared" si="0"/>
        <v>2250</v>
      </c>
      <c r="H32" s="93">
        <f>Optimizacijski_problem!D5</f>
        <v>400</v>
      </c>
      <c r="I32" s="93">
        <f>Optimizacijski_problem!E5</f>
        <v>10</v>
      </c>
      <c r="J32" s="93">
        <f>Optimizacijski_problem!F5</f>
        <v>150</v>
      </c>
      <c r="K32" s="93">
        <f>Optimizacijski_problem!G5</f>
        <v>12</v>
      </c>
      <c r="L32" s="1">
        <f t="shared" ref="L32:L40" si="1">G32*F32</f>
        <v>22500</v>
      </c>
      <c r="M32" s="1">
        <f t="shared" ref="M32:M40" si="2">H32*I32</f>
        <v>4000</v>
      </c>
      <c r="N32" s="1">
        <f t="shared" ref="N32:N40" si="3">J32*K32</f>
        <v>1800</v>
      </c>
      <c r="O32" s="1">
        <f t="shared" ref="O32:O40" si="4">L32+M32+N32</f>
        <v>28300</v>
      </c>
      <c r="P32" s="1">
        <f t="shared" ref="P32:P40" si="5">(0.5*F32*L32+M32*(F32+0.5*H32)+N32*(F32+H32+0.5*K32))/O32</f>
        <v>60.116607773851591</v>
      </c>
      <c r="Q32" s="12">
        <f t="shared" ref="Q32:Q40" si="6">(G32*F32^3)/12+L32*(0.5*F32-P32)^2+(I32*H32^3)/12+M32*(F32+0.5*H32-P32)^2+(J32*K32^3)/12+N32*(F32+H32+0.5*K32-P32)^2</f>
        <v>439729348.52767968</v>
      </c>
      <c r="R32" s="1">
        <v>4000</v>
      </c>
      <c r="S32" s="1">
        <v>204000</v>
      </c>
      <c r="T32" s="12">
        <f t="shared" ref="T32:T40" si="7">2*S32*Q32/R32</f>
        <v>44852393549.823326</v>
      </c>
      <c r="U32" s="1">
        <f t="shared" ref="U32:U40" si="8">F32+H32+K32-P32</f>
        <v>361.88339222614843</v>
      </c>
      <c r="V32" s="1">
        <f t="shared" ref="V32:V40" si="9">Q32/U32</f>
        <v>1215113.3706983814</v>
      </c>
      <c r="X32">
        <f t="shared" ref="X32:X40" si="10">O32*R32*$G$12</f>
        <v>905600000000</v>
      </c>
      <c r="Y32">
        <f>2*X32</f>
        <v>1811200000000</v>
      </c>
    </row>
    <row r="33" spans="3:25" x14ac:dyDescent="0.25">
      <c r="C33" s="1" t="s">
        <v>26</v>
      </c>
      <c r="D33" s="93" t="s">
        <v>49</v>
      </c>
      <c r="E33" s="1"/>
      <c r="F33" s="1">
        <v>10</v>
      </c>
      <c r="G33" s="48">
        <f t="shared" si="0"/>
        <v>2250</v>
      </c>
      <c r="H33" s="93">
        <f>Optimizacijski_problem!D6</f>
        <v>600</v>
      </c>
      <c r="I33" s="93">
        <f>Optimizacijski_problem!E6</f>
        <v>12</v>
      </c>
      <c r="J33" s="93">
        <f>Optimizacijski_problem!F6</f>
        <v>200</v>
      </c>
      <c r="K33" s="93">
        <f>Optimizacijski_problem!G6</f>
        <v>15</v>
      </c>
      <c r="L33" s="1">
        <f t="shared" si="1"/>
        <v>22500</v>
      </c>
      <c r="M33" s="1">
        <f t="shared" si="2"/>
        <v>7200</v>
      </c>
      <c r="N33" s="1">
        <f t="shared" si="3"/>
        <v>3000</v>
      </c>
      <c r="O33" s="1">
        <f t="shared" si="4"/>
        <v>32700</v>
      </c>
      <c r="P33" s="1">
        <f t="shared" si="5"/>
        <v>128.348623853211</v>
      </c>
      <c r="Q33" s="12">
        <f t="shared" si="6"/>
        <v>1513965825.6880732</v>
      </c>
      <c r="R33" s="1">
        <v>24000</v>
      </c>
      <c r="S33" s="1">
        <v>204000</v>
      </c>
      <c r="T33" s="12">
        <f t="shared" si="7"/>
        <v>25737419036.697247</v>
      </c>
      <c r="U33" s="1">
        <f t="shared" si="8"/>
        <v>496.651376146789</v>
      </c>
      <c r="V33" s="1">
        <f t="shared" si="9"/>
        <v>3048347.1875865883</v>
      </c>
      <c r="X33">
        <f t="shared" si="10"/>
        <v>6278400000000</v>
      </c>
      <c r="Y33">
        <f>X33</f>
        <v>6278400000000</v>
      </c>
    </row>
    <row r="34" spans="3:25" x14ac:dyDescent="0.25">
      <c r="C34" s="1" t="s">
        <v>27</v>
      </c>
      <c r="D34" s="93" t="s">
        <v>51</v>
      </c>
      <c r="E34" s="1"/>
      <c r="F34" s="1">
        <v>10</v>
      </c>
      <c r="G34" s="48">
        <f t="shared" si="0"/>
        <v>2250</v>
      </c>
      <c r="H34" s="93">
        <f>Optimizacijski_problem!D7</f>
        <v>400</v>
      </c>
      <c r="I34" s="93">
        <f>Optimizacijski_problem!E7</f>
        <v>10</v>
      </c>
      <c r="J34" s="93">
        <f>Optimizacijski_problem!F7</f>
        <v>150</v>
      </c>
      <c r="K34" s="93">
        <f>Optimizacijski_problem!G7</f>
        <v>12</v>
      </c>
      <c r="L34" s="1">
        <f t="shared" si="1"/>
        <v>22500</v>
      </c>
      <c r="M34" s="1">
        <f t="shared" si="2"/>
        <v>4000</v>
      </c>
      <c r="N34" s="1">
        <f t="shared" si="3"/>
        <v>1800</v>
      </c>
      <c r="O34" s="1">
        <f t="shared" si="4"/>
        <v>28300</v>
      </c>
      <c r="P34" s="1">
        <f t="shared" si="5"/>
        <v>60.116607773851591</v>
      </c>
      <c r="Q34" s="12">
        <f t="shared" si="6"/>
        <v>439729348.52767968</v>
      </c>
      <c r="R34" s="1">
        <v>4000</v>
      </c>
      <c r="S34" s="1">
        <v>204000</v>
      </c>
      <c r="T34" s="12">
        <f t="shared" si="7"/>
        <v>44852393549.823326</v>
      </c>
      <c r="U34" s="1">
        <f t="shared" si="8"/>
        <v>361.88339222614843</v>
      </c>
      <c r="V34" s="1">
        <f t="shared" si="9"/>
        <v>1215113.3706983814</v>
      </c>
      <c r="X34">
        <f t="shared" si="10"/>
        <v>905600000000</v>
      </c>
      <c r="Y34">
        <f>2*X34</f>
        <v>1811200000000</v>
      </c>
    </row>
    <row r="35" spans="3:25" x14ac:dyDescent="0.25">
      <c r="C35" s="1" t="s">
        <v>28</v>
      </c>
      <c r="D35" s="93" t="s">
        <v>49</v>
      </c>
      <c r="E35" s="1"/>
      <c r="F35" s="1">
        <v>10</v>
      </c>
      <c r="G35" s="48">
        <f t="shared" si="0"/>
        <v>2250</v>
      </c>
      <c r="H35" s="93">
        <f>Optimizacijski_problem!D8</f>
        <v>600</v>
      </c>
      <c r="I35" s="93">
        <f>Optimizacijski_problem!E8</f>
        <v>12</v>
      </c>
      <c r="J35" s="93">
        <f>Optimizacijski_problem!F8</f>
        <v>200</v>
      </c>
      <c r="K35" s="93">
        <f>Optimizacijski_problem!G8</f>
        <v>15</v>
      </c>
      <c r="L35" s="1">
        <f t="shared" si="1"/>
        <v>22500</v>
      </c>
      <c r="M35" s="1">
        <f t="shared" si="2"/>
        <v>7200</v>
      </c>
      <c r="N35" s="1">
        <f t="shared" si="3"/>
        <v>3000</v>
      </c>
      <c r="O35" s="1">
        <f t="shared" si="4"/>
        <v>32700</v>
      </c>
      <c r="P35" s="1">
        <f t="shared" si="5"/>
        <v>128.348623853211</v>
      </c>
      <c r="Q35" s="12">
        <f t="shared" si="6"/>
        <v>1513965825.6880732</v>
      </c>
      <c r="R35" s="1">
        <v>8000</v>
      </c>
      <c r="S35" s="1">
        <v>204000</v>
      </c>
      <c r="T35" s="12">
        <f t="shared" si="7"/>
        <v>77212257110.091736</v>
      </c>
      <c r="U35" s="1">
        <f t="shared" si="8"/>
        <v>496.651376146789</v>
      </c>
      <c r="V35" s="1">
        <f t="shared" si="9"/>
        <v>3048347.1875865883</v>
      </c>
      <c r="X35">
        <f t="shared" si="10"/>
        <v>2092800000000</v>
      </c>
      <c r="Y35">
        <f>2*X35</f>
        <v>4185600000000</v>
      </c>
    </row>
    <row r="36" spans="3:25" x14ac:dyDescent="0.25">
      <c r="C36" s="1" t="s">
        <v>29</v>
      </c>
      <c r="D36" s="93" t="s">
        <v>49</v>
      </c>
      <c r="E36" s="1"/>
      <c r="F36" s="1">
        <v>10</v>
      </c>
      <c r="G36" s="48">
        <f t="shared" si="0"/>
        <v>2250</v>
      </c>
      <c r="H36" s="93">
        <f>Optimizacijski_problem!D9</f>
        <v>600</v>
      </c>
      <c r="I36" s="93">
        <f>Optimizacijski_problem!E9</f>
        <v>12</v>
      </c>
      <c r="J36" s="93">
        <f>Optimizacijski_problem!F9</f>
        <v>200</v>
      </c>
      <c r="K36" s="93">
        <f>Optimizacijski_problem!G9</f>
        <v>15</v>
      </c>
      <c r="L36" s="1">
        <f t="shared" si="1"/>
        <v>22500</v>
      </c>
      <c r="M36" s="1">
        <f t="shared" si="2"/>
        <v>7200</v>
      </c>
      <c r="N36" s="1">
        <f t="shared" si="3"/>
        <v>3000</v>
      </c>
      <c r="O36" s="1">
        <f t="shared" si="4"/>
        <v>32700</v>
      </c>
      <c r="P36" s="1">
        <f t="shared" si="5"/>
        <v>128.348623853211</v>
      </c>
      <c r="Q36" s="12">
        <f t="shared" si="6"/>
        <v>1513965825.6880732</v>
      </c>
      <c r="R36" s="1">
        <v>8000</v>
      </c>
      <c r="S36" s="1">
        <v>204000</v>
      </c>
      <c r="T36" s="12">
        <f t="shared" si="7"/>
        <v>77212257110.091736</v>
      </c>
      <c r="U36" s="1">
        <f t="shared" si="8"/>
        <v>496.651376146789</v>
      </c>
      <c r="V36" s="1">
        <f t="shared" si="9"/>
        <v>3048347.1875865883</v>
      </c>
      <c r="X36">
        <f t="shared" si="10"/>
        <v>2092800000000</v>
      </c>
      <c r="Y36">
        <f>X36</f>
        <v>2092800000000</v>
      </c>
    </row>
    <row r="37" spans="3:25" x14ac:dyDescent="0.25">
      <c r="C37" s="1" t="s">
        <v>30</v>
      </c>
      <c r="D37" s="93" t="s">
        <v>51</v>
      </c>
      <c r="E37" s="1"/>
      <c r="F37" s="1">
        <v>10</v>
      </c>
      <c r="G37" s="48">
        <f t="shared" si="0"/>
        <v>2250</v>
      </c>
      <c r="H37" s="93">
        <f>Optimizacijski_problem!D10</f>
        <v>400</v>
      </c>
      <c r="I37" s="93">
        <f>Optimizacijski_problem!E10</f>
        <v>10</v>
      </c>
      <c r="J37" s="93">
        <f>Optimizacijski_problem!F10</f>
        <v>150</v>
      </c>
      <c r="K37" s="93">
        <f>Optimizacijski_problem!G10</f>
        <v>12</v>
      </c>
      <c r="L37" s="1">
        <f t="shared" si="1"/>
        <v>22500</v>
      </c>
      <c r="M37" s="1">
        <f t="shared" si="2"/>
        <v>4000</v>
      </c>
      <c r="N37" s="1">
        <f t="shared" si="3"/>
        <v>1800</v>
      </c>
      <c r="O37" s="1">
        <f t="shared" si="4"/>
        <v>28300</v>
      </c>
      <c r="P37" s="1">
        <f t="shared" si="5"/>
        <v>60.116607773851591</v>
      </c>
      <c r="Q37" s="12">
        <f t="shared" si="6"/>
        <v>439729348.52767968</v>
      </c>
      <c r="R37" s="1">
        <v>4800</v>
      </c>
      <c r="S37" s="1">
        <v>204000</v>
      </c>
      <c r="T37" s="12">
        <f t="shared" si="7"/>
        <v>37376994624.852776</v>
      </c>
      <c r="U37" s="1">
        <f t="shared" si="8"/>
        <v>361.88339222614843</v>
      </c>
      <c r="V37" s="1">
        <f t="shared" si="9"/>
        <v>1215113.3706983814</v>
      </c>
      <c r="X37">
        <f t="shared" si="10"/>
        <v>1086720000000</v>
      </c>
      <c r="Y37">
        <f>2*X37</f>
        <v>2173440000000</v>
      </c>
    </row>
    <row r="38" spans="3:25" x14ac:dyDescent="0.25">
      <c r="C38" s="1" t="s">
        <v>31</v>
      </c>
      <c r="D38" s="93" t="s">
        <v>49</v>
      </c>
      <c r="E38" s="1"/>
      <c r="F38" s="1">
        <v>12</v>
      </c>
      <c r="G38" s="48">
        <f t="shared" si="0"/>
        <v>2250</v>
      </c>
      <c r="H38" s="93">
        <f>Optimizacijski_problem!D11</f>
        <v>600</v>
      </c>
      <c r="I38" s="93">
        <f>Optimizacijski_problem!E11</f>
        <v>12</v>
      </c>
      <c r="J38" s="93">
        <f>Optimizacijski_problem!F11</f>
        <v>200</v>
      </c>
      <c r="K38" s="93">
        <f>Optimizacijski_problem!G11</f>
        <v>15</v>
      </c>
      <c r="L38" s="1">
        <f t="shared" si="1"/>
        <v>27000</v>
      </c>
      <c r="M38" s="1">
        <f t="shared" si="2"/>
        <v>7200</v>
      </c>
      <c r="N38" s="1">
        <f t="shared" si="3"/>
        <v>3000</v>
      </c>
      <c r="O38" s="1">
        <f t="shared" si="4"/>
        <v>37200</v>
      </c>
      <c r="P38" s="1">
        <f t="shared" si="5"/>
        <v>114.70161290322581</v>
      </c>
      <c r="Q38" s="12">
        <f t="shared" si="6"/>
        <v>1580149487.9032259</v>
      </c>
      <c r="R38" s="1">
        <v>8000</v>
      </c>
      <c r="S38" s="1">
        <v>204000</v>
      </c>
      <c r="T38" s="12">
        <f t="shared" si="7"/>
        <v>80587623883.064514</v>
      </c>
      <c r="U38" s="1">
        <f t="shared" si="8"/>
        <v>512.29838709677415</v>
      </c>
      <c r="V38" s="1">
        <f t="shared" si="9"/>
        <v>3084431.9008264467</v>
      </c>
      <c r="X38">
        <f t="shared" si="10"/>
        <v>2380800000000</v>
      </c>
      <c r="Y38">
        <f>2*X38</f>
        <v>4761600000000</v>
      </c>
    </row>
    <row r="39" spans="3:25" x14ac:dyDescent="0.25">
      <c r="C39" s="1" t="s">
        <v>32</v>
      </c>
      <c r="D39" s="93" t="s">
        <v>49</v>
      </c>
      <c r="E39" s="1"/>
      <c r="F39" s="1">
        <v>12</v>
      </c>
      <c r="G39" s="48">
        <f t="shared" si="0"/>
        <v>2250</v>
      </c>
      <c r="H39" s="93">
        <f>Optimizacijski_problem!D12</f>
        <v>600</v>
      </c>
      <c r="I39" s="93">
        <f>Optimizacijski_problem!E12</f>
        <v>12</v>
      </c>
      <c r="J39" s="93">
        <f>Optimizacijski_problem!F12</f>
        <v>200</v>
      </c>
      <c r="K39" s="93">
        <f>Optimizacijski_problem!G12</f>
        <v>15</v>
      </c>
      <c r="L39" s="1">
        <f t="shared" si="1"/>
        <v>27000</v>
      </c>
      <c r="M39" s="1">
        <f t="shared" si="2"/>
        <v>7200</v>
      </c>
      <c r="N39" s="1">
        <f t="shared" si="3"/>
        <v>3000</v>
      </c>
      <c r="O39" s="1">
        <f t="shared" si="4"/>
        <v>37200</v>
      </c>
      <c r="P39" s="1">
        <f t="shared" si="5"/>
        <v>114.70161290322581</v>
      </c>
      <c r="Q39" s="12">
        <f t="shared" si="6"/>
        <v>1580149487.9032259</v>
      </c>
      <c r="R39" s="1">
        <v>8000</v>
      </c>
      <c r="S39" s="1">
        <v>204000</v>
      </c>
      <c r="T39" s="12">
        <f t="shared" si="7"/>
        <v>80587623883.064514</v>
      </c>
      <c r="U39" s="1">
        <f t="shared" si="8"/>
        <v>512.29838709677415</v>
      </c>
      <c r="V39" s="1">
        <f t="shared" si="9"/>
        <v>3084431.9008264467</v>
      </c>
      <c r="X39">
        <f t="shared" si="10"/>
        <v>2380800000000</v>
      </c>
      <c r="Y39">
        <f>X39</f>
        <v>2380800000000</v>
      </c>
    </row>
    <row r="40" spans="3:25" x14ac:dyDescent="0.25">
      <c r="C40" s="1" t="s">
        <v>33</v>
      </c>
      <c r="D40" s="93" t="s">
        <v>51</v>
      </c>
      <c r="E40" s="1"/>
      <c r="F40" s="1">
        <v>10</v>
      </c>
      <c r="G40" s="48">
        <f t="shared" si="0"/>
        <v>2250</v>
      </c>
      <c r="H40" s="93">
        <f>Optimizacijski_problem!D13</f>
        <v>400</v>
      </c>
      <c r="I40" s="93">
        <f>Optimizacijski_problem!E13</f>
        <v>10</v>
      </c>
      <c r="J40" s="93">
        <f>Optimizacijski_problem!F13</f>
        <v>150</v>
      </c>
      <c r="K40" s="93">
        <f>Optimizacijski_problem!G13</f>
        <v>12</v>
      </c>
      <c r="L40" s="1">
        <f t="shared" si="1"/>
        <v>22500</v>
      </c>
      <c r="M40" s="1">
        <f t="shared" si="2"/>
        <v>4000</v>
      </c>
      <c r="N40" s="1">
        <f t="shared" si="3"/>
        <v>1800</v>
      </c>
      <c r="O40" s="1">
        <f t="shared" si="4"/>
        <v>28300</v>
      </c>
      <c r="P40" s="1">
        <f t="shared" si="5"/>
        <v>60.116607773851591</v>
      </c>
      <c r="Q40" s="12">
        <f t="shared" si="6"/>
        <v>439729348.52767968</v>
      </c>
      <c r="R40" s="1">
        <v>4800</v>
      </c>
      <c r="S40" s="1">
        <v>204000</v>
      </c>
      <c r="T40" s="12">
        <f t="shared" si="7"/>
        <v>37376994624.852776</v>
      </c>
      <c r="U40" s="1">
        <f t="shared" si="8"/>
        <v>361.88339222614843</v>
      </c>
      <c r="V40" s="1">
        <f t="shared" si="9"/>
        <v>1215113.3706983814</v>
      </c>
      <c r="X40">
        <f t="shared" si="10"/>
        <v>1086720000000</v>
      </c>
      <c r="Y40">
        <f>2*X40</f>
        <v>2173440000000</v>
      </c>
    </row>
    <row r="42" spans="3:25" x14ac:dyDescent="0.25">
      <c r="C42" t="s">
        <v>52</v>
      </c>
    </row>
    <row r="44" spans="3:25" x14ac:dyDescent="0.25">
      <c r="C44" s="1"/>
      <c r="D44" s="1" t="s">
        <v>68</v>
      </c>
      <c r="E44" s="1" t="s">
        <v>65</v>
      </c>
      <c r="F44" s="1" t="s">
        <v>67</v>
      </c>
      <c r="G44" s="1" t="s">
        <v>66</v>
      </c>
      <c r="H44" s="29" t="s">
        <v>69</v>
      </c>
      <c r="I44" s="1"/>
      <c r="J44" s="1"/>
      <c r="P44" t="s">
        <v>158</v>
      </c>
      <c r="Q44">
        <f>SUM(Y31:Y40)</f>
        <v>33946880000000</v>
      </c>
    </row>
    <row r="45" spans="3:25" x14ac:dyDescent="0.25">
      <c r="C45" s="1" t="s">
        <v>53</v>
      </c>
      <c r="D45" s="1">
        <v>-1</v>
      </c>
      <c r="E45" s="1">
        <f>R31</f>
        <v>24000</v>
      </c>
      <c r="F45" s="1">
        <f>pt</f>
        <v>1.6E-2</v>
      </c>
      <c r="G45" s="1">
        <f>F45*w</f>
        <v>36</v>
      </c>
      <c r="H45" s="12">
        <f>(D45*G45*E45^2)/12</f>
        <v>-1728000000</v>
      </c>
      <c r="I45" s="1"/>
      <c r="J45" s="1">
        <f>H45/(1000*1000)</f>
        <v>-1728</v>
      </c>
    </row>
    <row r="46" spans="3:25" x14ac:dyDescent="0.25">
      <c r="C46" s="1" t="s">
        <v>54</v>
      </c>
      <c r="D46" s="1">
        <v>0</v>
      </c>
      <c r="E46" s="1">
        <f>R32</f>
        <v>4000</v>
      </c>
      <c r="F46" s="1">
        <v>0</v>
      </c>
      <c r="G46" s="1">
        <f t="shared" ref="G45:G57" si="11">F46*w</f>
        <v>0</v>
      </c>
      <c r="H46" s="1">
        <f>(D46*G46*E46^2)/12</f>
        <v>0</v>
      </c>
      <c r="I46" s="1"/>
      <c r="J46" s="1">
        <f t="shared" ref="J46:J57" si="12">H46/(1000*1000)</f>
        <v>0</v>
      </c>
    </row>
    <row r="47" spans="3:25" x14ac:dyDescent="0.25">
      <c r="C47" s="1" t="s">
        <v>55</v>
      </c>
      <c r="D47" s="1">
        <v>-1</v>
      </c>
      <c r="E47" s="1">
        <f>R33</f>
        <v>24000</v>
      </c>
      <c r="F47" s="1">
        <f>pd</f>
        <v>0.02</v>
      </c>
      <c r="G47" s="1">
        <f t="shared" si="11"/>
        <v>45</v>
      </c>
      <c r="H47" s="12">
        <f>(D47*G47*E47^2)/12</f>
        <v>-2160000000</v>
      </c>
      <c r="I47" s="1"/>
      <c r="J47" s="1">
        <f t="shared" si="12"/>
        <v>-2160</v>
      </c>
    </row>
    <row r="48" spans="3:25" x14ac:dyDescent="0.25">
      <c r="C48" s="1" t="s">
        <v>56</v>
      </c>
      <c r="D48" s="1">
        <v>0</v>
      </c>
      <c r="E48" s="1">
        <f>R34</f>
        <v>4000</v>
      </c>
      <c r="F48" s="1">
        <f>0</f>
        <v>0</v>
      </c>
      <c r="G48" s="1">
        <f t="shared" si="11"/>
        <v>0</v>
      </c>
      <c r="H48" s="1">
        <f t="shared" ref="H46:H57" si="13">(D48*G48*E48^2)/12</f>
        <v>0</v>
      </c>
      <c r="I48" s="1"/>
      <c r="J48" s="1">
        <f t="shared" si="12"/>
        <v>0</v>
      </c>
    </row>
    <row r="49" spans="2:12" x14ac:dyDescent="0.25">
      <c r="C49" s="1" t="s">
        <v>57</v>
      </c>
      <c r="D49" s="1">
        <v>1</v>
      </c>
      <c r="E49" s="1">
        <f>R37</f>
        <v>4800</v>
      </c>
      <c r="F49" s="1">
        <f>pb</f>
        <v>4.8291082728E-2</v>
      </c>
      <c r="G49" s="1">
        <f t="shared" si="11"/>
        <v>108.654936138</v>
      </c>
      <c r="H49" s="12">
        <f>(D49*G49*E49^2)/30</f>
        <v>83446990.953983992</v>
      </c>
      <c r="I49" s="1"/>
      <c r="J49" s="1">
        <f t="shared" si="12"/>
        <v>83.446990953983999</v>
      </c>
    </row>
    <row r="50" spans="2:12" x14ac:dyDescent="0.25">
      <c r="C50" s="1" t="s">
        <v>58</v>
      </c>
      <c r="D50" s="1">
        <v>-1</v>
      </c>
      <c r="E50" s="1">
        <f>R36</f>
        <v>8000</v>
      </c>
      <c r="F50" s="1">
        <f>pj</f>
        <v>0.13</v>
      </c>
      <c r="G50" s="1">
        <f t="shared" si="11"/>
        <v>292.5</v>
      </c>
      <c r="H50" s="12">
        <f>(D50*G50*E50^2)/12</f>
        <v>-1560000000</v>
      </c>
      <c r="I50" s="1"/>
      <c r="J50" s="1">
        <f>H50/(1000*1000)</f>
        <v>-1560</v>
      </c>
    </row>
    <row r="51" spans="2:12" x14ac:dyDescent="0.25">
      <c r="C51" s="1" t="s">
        <v>59</v>
      </c>
      <c r="D51" s="1">
        <v>-1</v>
      </c>
      <c r="E51" s="1">
        <f>E49</f>
        <v>4800</v>
      </c>
      <c r="F51" s="1">
        <f>pb</f>
        <v>4.8291082728E-2</v>
      </c>
      <c r="G51" s="1">
        <f t="shared" si="11"/>
        <v>108.654936138</v>
      </c>
      <c r="H51" s="12">
        <f>(D51*G51*E51^2)/20</f>
        <v>-125170486.43097599</v>
      </c>
      <c r="I51" s="1"/>
      <c r="J51" s="1">
        <f t="shared" si="12"/>
        <v>-125.17048643097598</v>
      </c>
    </row>
    <row r="52" spans="2:12" x14ac:dyDescent="0.25">
      <c r="C52" s="1" t="s">
        <v>60</v>
      </c>
      <c r="D52" s="1">
        <v>1</v>
      </c>
      <c r="E52" s="1">
        <f>R38</f>
        <v>8000</v>
      </c>
      <c r="F52" s="1">
        <f>pb</f>
        <v>4.8291082728E-2</v>
      </c>
      <c r="G52" s="1">
        <f t="shared" si="11"/>
        <v>108.654936138</v>
      </c>
      <c r="H52" s="12">
        <f t="shared" si="13"/>
        <v>579492992.73599994</v>
      </c>
      <c r="I52" s="1"/>
      <c r="J52" s="1">
        <f>H52/(1000*1000)</f>
        <v>579.49299273599991</v>
      </c>
    </row>
    <row r="53" spans="2:12" x14ac:dyDescent="0.25">
      <c r="C53" s="1" t="s">
        <v>61</v>
      </c>
      <c r="D53" s="1">
        <v>1</v>
      </c>
      <c r="E53" s="1">
        <f>E50</f>
        <v>8000</v>
      </c>
      <c r="F53" s="1">
        <f>pj</f>
        <v>0.13</v>
      </c>
      <c r="G53" s="1">
        <f t="shared" si="11"/>
        <v>292.5</v>
      </c>
      <c r="H53" s="12">
        <f>(D53*G53*E53^2)/12</f>
        <v>1560000000</v>
      </c>
      <c r="I53" s="1"/>
      <c r="J53" s="1">
        <f t="shared" si="12"/>
        <v>1560</v>
      </c>
    </row>
    <row r="54" spans="2:12" x14ac:dyDescent="0.25">
      <c r="C54" s="1" t="s">
        <v>62</v>
      </c>
      <c r="D54" s="1">
        <v>-1</v>
      </c>
      <c r="E54" s="1">
        <f>R36</f>
        <v>8000</v>
      </c>
      <c r="F54" s="1">
        <f>pj</f>
        <v>0.13</v>
      </c>
      <c r="G54" s="1">
        <f t="shared" si="11"/>
        <v>292.5</v>
      </c>
      <c r="H54" s="12">
        <f>(D54*G54*E54^2)/12</f>
        <v>-1560000000</v>
      </c>
      <c r="I54" s="1"/>
      <c r="J54" s="1">
        <f t="shared" si="12"/>
        <v>-1560</v>
      </c>
    </row>
    <row r="55" spans="2:12" x14ac:dyDescent="0.25">
      <c r="C55" s="1" t="s">
        <v>157</v>
      </c>
      <c r="D55" s="1">
        <v>-1</v>
      </c>
      <c r="E55" s="1">
        <f>R40</f>
        <v>4800</v>
      </c>
      <c r="F55" s="1">
        <f>pb</f>
        <v>4.8291082728E-2</v>
      </c>
      <c r="G55" s="1">
        <f t="shared" ref="G55" si="14">F55*w</f>
        <v>108.654936138</v>
      </c>
      <c r="H55" s="12">
        <f>(D55*G55*E55^2)/30</f>
        <v>-83446990.953983992</v>
      </c>
      <c r="I55" s="1"/>
      <c r="J55" s="1">
        <f t="shared" si="12"/>
        <v>-83.446990953983999</v>
      </c>
    </row>
    <row r="56" spans="2:12" x14ac:dyDescent="0.25">
      <c r="C56" s="1" t="s">
        <v>63</v>
      </c>
      <c r="D56" s="1">
        <v>-1</v>
      </c>
      <c r="E56" s="1">
        <f>E52</f>
        <v>8000</v>
      </c>
      <c r="F56" s="1">
        <f>pb</f>
        <v>4.8291082728E-2</v>
      </c>
      <c r="G56" s="1">
        <f t="shared" si="11"/>
        <v>108.654936138</v>
      </c>
      <c r="H56" s="12">
        <f t="shared" si="13"/>
        <v>-579492992.73599994</v>
      </c>
      <c r="I56" s="1"/>
      <c r="J56" s="1">
        <f t="shared" si="12"/>
        <v>-579.49299273599991</v>
      </c>
    </row>
    <row r="57" spans="2:12" x14ac:dyDescent="0.25">
      <c r="C57" s="1" t="s">
        <v>64</v>
      </c>
      <c r="D57" s="1">
        <v>1</v>
      </c>
      <c r="E57" s="1">
        <f>R39</f>
        <v>8000</v>
      </c>
      <c r="F57" s="1">
        <f>pb</f>
        <v>4.8291082728E-2</v>
      </c>
      <c r="G57" s="1">
        <f t="shared" si="11"/>
        <v>108.654936138</v>
      </c>
      <c r="H57" s="12">
        <f t="shared" si="13"/>
        <v>579492992.73599994</v>
      </c>
      <c r="I57" s="1"/>
      <c r="J57" s="1">
        <f t="shared" si="12"/>
        <v>579.49299273599991</v>
      </c>
    </row>
    <row r="58" spans="2:12" x14ac:dyDescent="0.25">
      <c r="C58" s="1" t="s">
        <v>156</v>
      </c>
      <c r="D58" s="1">
        <v>1</v>
      </c>
      <c r="E58" s="1">
        <f>R40</f>
        <v>4800</v>
      </c>
      <c r="F58" s="1">
        <f>pb</f>
        <v>4.8291082728E-2</v>
      </c>
      <c r="G58" s="1">
        <f t="shared" ref="G58" si="15">F58*w</f>
        <v>108.654936138</v>
      </c>
      <c r="H58" s="12">
        <f>(D58*G58*E58^2)/20</f>
        <v>125170486.43097599</v>
      </c>
      <c r="I58" s="1"/>
      <c r="J58" s="1">
        <f t="shared" ref="J58" si="16">H58/(1000*1000)</f>
        <v>125.17048643097598</v>
      </c>
    </row>
    <row r="60" spans="2:12" x14ac:dyDescent="0.25">
      <c r="C60" s="3" t="s">
        <v>71</v>
      </c>
      <c r="D60" s="3"/>
    </row>
    <row r="63" spans="2:12" x14ac:dyDescent="0.25">
      <c r="B63" s="1"/>
      <c r="C63" s="1" t="s">
        <v>85</v>
      </c>
      <c r="D63" s="1"/>
      <c r="E63" s="1"/>
      <c r="F63" s="1"/>
      <c r="G63" s="1"/>
      <c r="H63" s="1"/>
      <c r="I63" s="29" t="s">
        <v>84</v>
      </c>
      <c r="J63" s="1" t="s">
        <v>11</v>
      </c>
      <c r="L63" s="5"/>
    </row>
    <row r="64" spans="2:12" x14ac:dyDescent="0.25">
      <c r="B64" s="1" t="s">
        <v>78</v>
      </c>
      <c r="C64" s="12">
        <f>T31+2*T32</f>
        <v>115442206136.3439</v>
      </c>
      <c r="D64" s="12">
        <f>T32</f>
        <v>44852393549.823326</v>
      </c>
      <c r="E64" s="12">
        <v>0</v>
      </c>
      <c r="F64" s="12">
        <v>0</v>
      </c>
      <c r="G64" s="12">
        <v>0</v>
      </c>
      <c r="H64" s="12">
        <v>0</v>
      </c>
      <c r="I64" s="29" t="s">
        <v>72</v>
      </c>
      <c r="J64" s="12">
        <f>-(H45+H46)</f>
        <v>1728000000</v>
      </c>
    </row>
    <row r="65" spans="2:10" x14ac:dyDescent="0.25">
      <c r="B65" s="1" t="s">
        <v>79</v>
      </c>
      <c r="C65" s="12">
        <f>T32</f>
        <v>44852393549.823326</v>
      </c>
      <c r="D65" s="12">
        <f>2*T32+T33+2*T34</f>
        <v>205146993235.99054</v>
      </c>
      <c r="E65" s="12">
        <f>T34</f>
        <v>44852393549.823326</v>
      </c>
      <c r="F65" s="12">
        <v>0</v>
      </c>
      <c r="G65" s="12">
        <v>0</v>
      </c>
      <c r="H65" s="12">
        <v>0</v>
      </c>
      <c r="I65" s="29" t="s">
        <v>73</v>
      </c>
      <c r="J65" s="12">
        <f>-(H46+H47+H48)</f>
        <v>2160000000</v>
      </c>
    </row>
    <row r="66" spans="2:10" x14ac:dyDescent="0.25">
      <c r="B66" s="1" t="s">
        <v>80</v>
      </c>
      <c r="C66" s="12">
        <v>0</v>
      </c>
      <c r="D66" s="12">
        <f>T34</f>
        <v>44852393549.823326</v>
      </c>
      <c r="E66" s="12">
        <f>2*(T34+T35+T37)</f>
        <v>318883290569.53571</v>
      </c>
      <c r="F66" s="12">
        <f>T37</f>
        <v>37376994624.852776</v>
      </c>
      <c r="G66" s="12">
        <f>T35</f>
        <v>77212257110.091736</v>
      </c>
      <c r="H66" s="12">
        <v>0</v>
      </c>
      <c r="I66" s="29" t="s">
        <v>74</v>
      </c>
      <c r="J66" s="12">
        <f>-(H48+H49+H50)</f>
        <v>1476553009.046016</v>
      </c>
    </row>
    <row r="67" spans="2:10" x14ac:dyDescent="0.25">
      <c r="B67" s="1" t="s">
        <v>81</v>
      </c>
      <c r="C67" s="12">
        <v>0</v>
      </c>
      <c r="D67" s="12">
        <v>0</v>
      </c>
      <c r="E67" s="12">
        <f>T37</f>
        <v>37376994624.852776</v>
      </c>
      <c r="F67" s="12">
        <f>2*(T37+T38)</f>
        <v>235929237015.83459</v>
      </c>
      <c r="G67" s="12">
        <v>0</v>
      </c>
      <c r="H67" s="12">
        <f>T38</f>
        <v>80587623883.064514</v>
      </c>
      <c r="I67" s="29" t="s">
        <v>75</v>
      </c>
      <c r="J67" s="12">
        <f>-(H51+H52)</f>
        <v>-454322506.30502397</v>
      </c>
    </row>
    <row r="68" spans="2:10" x14ac:dyDescent="0.25">
      <c r="B68" s="1" t="s">
        <v>82</v>
      </c>
      <c r="C68" s="12">
        <v>0</v>
      </c>
      <c r="D68" s="12">
        <v>0</v>
      </c>
      <c r="E68" s="12">
        <f>T35</f>
        <v>77212257110.091736</v>
      </c>
      <c r="F68" s="12">
        <v>0</v>
      </c>
      <c r="G68" s="12">
        <f>2*T35+T36+2*T40</f>
        <v>306390760579.98077</v>
      </c>
      <c r="H68" s="12">
        <f>T40</f>
        <v>37376994624.852776</v>
      </c>
      <c r="I68" s="29" t="s">
        <v>76</v>
      </c>
      <c r="J68" s="12">
        <f>-(H53+H54+H55)</f>
        <v>83446990.953983992</v>
      </c>
    </row>
    <row r="69" spans="2:10" x14ac:dyDescent="0.25">
      <c r="B69" s="1" t="s">
        <v>83</v>
      </c>
      <c r="C69" s="12">
        <v>0</v>
      </c>
      <c r="D69" s="12">
        <v>0</v>
      </c>
      <c r="E69" s="12">
        <v>0</v>
      </c>
      <c r="F69" s="12">
        <f>T38</f>
        <v>80587623883.064514</v>
      </c>
      <c r="G69" s="12">
        <f>T40</f>
        <v>37376994624.852776</v>
      </c>
      <c r="H69" s="12">
        <f>2*T38+2*T40+T39</f>
        <v>316516860898.89911</v>
      </c>
      <c r="I69" s="29" t="s">
        <v>77</v>
      </c>
      <c r="J69" s="12">
        <f>-(H56+H58+H57)</f>
        <v>-125170486.43097597</v>
      </c>
    </row>
    <row r="72" spans="2:10" x14ac:dyDescent="0.25">
      <c r="C72" t="s">
        <v>86</v>
      </c>
    </row>
    <row r="74" spans="2:10" x14ac:dyDescent="0.25">
      <c r="C74" s="1">
        <f t="array" ref="C74:H79">MINVERSE(C64:H69)</f>
        <v>9.4971416670147213E-12</v>
      </c>
      <c r="D74" s="1">
        <v>-2.1486252661749829E-12</v>
      </c>
      <c r="E74" s="1">
        <v>3.302940183750039E-13</v>
      </c>
      <c r="F74" s="1">
        <v>-6.1126962280102979E-14</v>
      </c>
      <c r="G74" s="1">
        <v>-8.6378970312900961E-14</v>
      </c>
      <c r="H74" s="1">
        <v>2.5763755306020064E-14</v>
      </c>
    </row>
    <row r="75" spans="2:10" x14ac:dyDescent="0.25">
      <c r="C75" s="1">
        <v>-2.1486252661749833E-12</v>
      </c>
      <c r="D75" s="1">
        <v>5.5301851530397582E-12</v>
      </c>
      <c r="E75" s="1">
        <v>-8.501189599278087E-13</v>
      </c>
      <c r="F75" s="1">
        <v>1.5733009593321832E-13</v>
      </c>
      <c r="G75" s="1">
        <v>2.2232434230360759E-13</v>
      </c>
      <c r="H75" s="1">
        <v>-6.63113942309464E-14</v>
      </c>
    </row>
    <row r="76" spans="2:10" x14ac:dyDescent="0.25">
      <c r="C76" s="1">
        <v>3.302940183750039E-13</v>
      </c>
      <c r="D76" s="1">
        <v>-8.501189599278085E-13</v>
      </c>
      <c r="E76" s="1">
        <v>3.5580012256317554E-12</v>
      </c>
      <c r="F76" s="1">
        <v>-6.5847334378554325E-13</v>
      </c>
      <c r="G76" s="1">
        <v>-9.3049363640964235E-13</v>
      </c>
      <c r="H76" s="1">
        <v>2.77532948997036E-13</v>
      </c>
    </row>
    <row r="77" spans="2:10" x14ac:dyDescent="0.25">
      <c r="C77" s="1">
        <v>-6.1126962280102979E-14</v>
      </c>
      <c r="D77" s="1">
        <v>1.5733009593321832E-13</v>
      </c>
      <c r="E77" s="1">
        <v>-6.5847334378554315E-13</v>
      </c>
      <c r="F77" s="1">
        <v>4.7706229600550009E-12</v>
      </c>
      <c r="G77" s="1">
        <v>3.1870544165506186E-13</v>
      </c>
      <c r="H77" s="1">
        <v>-1.2522726885601295E-12</v>
      </c>
    </row>
    <row r="78" spans="2:10" x14ac:dyDescent="0.25">
      <c r="C78" s="1">
        <v>-8.6378970312900961E-14</v>
      </c>
      <c r="D78" s="1">
        <v>2.2232434230360757E-13</v>
      </c>
      <c r="E78" s="1">
        <v>-9.3049363640964235E-13</v>
      </c>
      <c r="F78" s="1">
        <v>3.1870544165506186E-13</v>
      </c>
      <c r="G78" s="1">
        <v>3.5594716751265519E-12</v>
      </c>
      <c r="H78" s="1">
        <v>-5.0147744887690112E-13</v>
      </c>
    </row>
    <row r="79" spans="2:10" x14ac:dyDescent="0.25">
      <c r="C79" s="1">
        <v>2.5763755306020067E-14</v>
      </c>
      <c r="D79" s="1">
        <v>-6.63113942309464E-14</v>
      </c>
      <c r="E79" s="1">
        <v>2.77532948997036E-13</v>
      </c>
      <c r="F79" s="1">
        <v>-1.2522726885601295E-12</v>
      </c>
      <c r="G79" s="1">
        <v>-5.0147744887690112E-13</v>
      </c>
      <c r="H79" s="1">
        <v>3.5374463058810424E-12</v>
      </c>
    </row>
    <row r="81" spans="2:12" x14ac:dyDescent="0.25">
      <c r="C81" s="1" t="s">
        <v>87</v>
      </c>
      <c r="D81" s="1"/>
    </row>
    <row r="82" spans="2:12" x14ac:dyDescent="0.25">
      <c r="C82" s="6" t="s">
        <v>72</v>
      </c>
      <c r="D82" s="15">
        <f t="array" ref="D82:D87">MMULT(C74:H79,J64:J69)</f>
        <v>1.2275065280132639E-2</v>
      </c>
    </row>
    <row r="83" spans="2:12" x14ac:dyDescent="0.25">
      <c r="C83" s="6" t="s">
        <v>73</v>
      </c>
      <c r="D83" s="15">
        <v>6.9325036856383053E-3</v>
      </c>
    </row>
    <row r="84" spans="2:12" x14ac:dyDescent="0.25">
      <c r="C84" s="6" t="s">
        <v>74</v>
      </c>
      <c r="D84" s="15">
        <v>4.1748419578008225E-3</v>
      </c>
    </row>
    <row r="85" spans="2:12" x14ac:dyDescent="0.25">
      <c r="C85" s="6" t="s">
        <v>75</v>
      </c>
      <c r="D85" s="15">
        <v>-2.7221239689178087E-3</v>
      </c>
    </row>
    <row r="86" spans="2:12" x14ac:dyDescent="0.25">
      <c r="C86" s="6" t="s">
        <v>76</v>
      </c>
      <c r="D86" s="15">
        <v>-8.2796313820417036E-4</v>
      </c>
    </row>
    <row r="87" spans="2:12" x14ac:dyDescent="0.25">
      <c r="C87" s="6" t="s">
        <v>77</v>
      </c>
      <c r="D87" s="15">
        <v>3.953842760542684E-4</v>
      </c>
    </row>
    <row r="90" spans="2:12" x14ac:dyDescent="0.25">
      <c r="C90" s="8" t="s">
        <v>112</v>
      </c>
    </row>
    <row r="91" spans="2:12" ht="17.25" x14ac:dyDescent="0.25">
      <c r="C91" s="1"/>
      <c r="D91" s="1" t="s">
        <v>104</v>
      </c>
      <c r="E91" s="1" t="s">
        <v>105</v>
      </c>
      <c r="F91" s="6" t="s">
        <v>113</v>
      </c>
      <c r="G91" s="6" t="s">
        <v>109</v>
      </c>
      <c r="H91" s="13" t="s">
        <v>114</v>
      </c>
      <c r="I91" s="6" t="s">
        <v>115</v>
      </c>
      <c r="J91" s="13" t="s">
        <v>116</v>
      </c>
      <c r="K91" s="5"/>
    </row>
    <row r="92" spans="2:12" x14ac:dyDescent="0.25">
      <c r="B92">
        <v>1</v>
      </c>
      <c r="C92" s="7" t="s">
        <v>88</v>
      </c>
      <c r="D92" s="11">
        <f>T31</f>
        <v>25737419036.697247</v>
      </c>
      <c r="E92" s="12">
        <f>H45</f>
        <v>-1728000000</v>
      </c>
      <c r="F92" s="12">
        <f>D92*fa+E92</f>
        <v>-1412071501.1824129</v>
      </c>
      <c r="G92" s="1">
        <f>V31</f>
        <v>3048347.1875865883</v>
      </c>
      <c r="H92" s="1">
        <f>F92/G92</f>
        <v>-463.22528711054275</v>
      </c>
      <c r="I92" s="12">
        <f>F92+pt*w*R31^2/8</f>
        <v>1179928498.8175871</v>
      </c>
      <c r="J92" s="1">
        <f>I92/G92</f>
        <v>387.07155917884478</v>
      </c>
      <c r="K92">
        <f>MAX(ABS(H92),ABS(J92))</f>
        <v>463.22528711054275</v>
      </c>
      <c r="L92" s="18">
        <f>F92+F93</f>
        <v>0</v>
      </c>
    </row>
    <row r="93" spans="2:12" x14ac:dyDescent="0.25">
      <c r="B93">
        <v>2</v>
      </c>
      <c r="C93" s="7" t="s">
        <v>89</v>
      </c>
      <c r="D93" s="11">
        <f>T32</f>
        <v>44852393549.823326</v>
      </c>
      <c r="E93" s="12">
        <f>H46</f>
        <v>0</v>
      </c>
      <c r="F93" s="12">
        <f>D93*(2*fa+fb)+E93</f>
        <v>1412071501.1824129</v>
      </c>
      <c r="G93" s="1">
        <f>V32</f>
        <v>1215113.3706983814</v>
      </c>
      <c r="H93" s="1">
        <f>-F93/G93</f>
        <v>-1162.0903326665152</v>
      </c>
      <c r="I93" s="1">
        <v>0</v>
      </c>
      <c r="J93" s="1">
        <f t="shared" ref="J93:J107" si="17">I93/G93</f>
        <v>0</v>
      </c>
      <c r="K93">
        <f t="shared" ref="K93:K107" si="18">MAX(ABS(H93),ABS(J93))</f>
        <v>1162.0903326665152</v>
      </c>
      <c r="L93" s="2"/>
    </row>
    <row r="94" spans="2:12" x14ac:dyDescent="0.25">
      <c r="B94">
        <v>3</v>
      </c>
      <c r="C94" s="7" t="s">
        <v>90</v>
      </c>
      <c r="D94" s="11">
        <f>D93</f>
        <v>44852393549.823326</v>
      </c>
      <c r="E94" s="12">
        <f>E93</f>
        <v>0</v>
      </c>
      <c r="F94" s="12">
        <f>D94*(2*fb+fa)+E94</f>
        <v>1172444825.9819813</v>
      </c>
      <c r="G94" s="1">
        <f>G93</f>
        <v>1215113.3706983814</v>
      </c>
      <c r="H94" s="1">
        <f t="shared" ref="H94:H107" si="19">F94/G94</f>
        <v>964.88513274125478</v>
      </c>
      <c r="I94" s="1">
        <v>0</v>
      </c>
      <c r="J94" s="1">
        <f t="shared" si="17"/>
        <v>0</v>
      </c>
      <c r="K94">
        <f t="shared" si="18"/>
        <v>964.88513274125478</v>
      </c>
      <c r="L94" s="19">
        <f>F94+F95+F96</f>
        <v>0</v>
      </c>
    </row>
    <row r="95" spans="2:12" x14ac:dyDescent="0.25">
      <c r="B95">
        <v>4</v>
      </c>
      <c r="C95" s="7" t="s">
        <v>91</v>
      </c>
      <c r="D95" s="11">
        <f>T33</f>
        <v>25737419036.697247</v>
      </c>
      <c r="E95" s="12">
        <f>H47</f>
        <v>-2160000000</v>
      </c>
      <c r="F95" s="12">
        <f>D95*(fb)+E95</f>
        <v>-1981575247.6692789</v>
      </c>
      <c r="G95" s="1">
        <f>V33</f>
        <v>3048347.1875865883</v>
      </c>
      <c r="H95" s="1">
        <f t="shared" si="19"/>
        <v>-650.04906781570207</v>
      </c>
      <c r="I95" s="12">
        <f>F95+pd*w*R33^2*0.125</f>
        <v>1258424752.3307211</v>
      </c>
      <c r="J95" s="1">
        <f t="shared" si="17"/>
        <v>412.82199004603228</v>
      </c>
      <c r="K95">
        <f t="shared" si="18"/>
        <v>650.04906781570207</v>
      </c>
      <c r="L95" s="20"/>
    </row>
    <row r="96" spans="2:12" x14ac:dyDescent="0.25">
      <c r="B96">
        <v>5</v>
      </c>
      <c r="C96" s="7" t="s">
        <v>92</v>
      </c>
      <c r="D96" s="11">
        <f>T34</f>
        <v>44852393549.823326</v>
      </c>
      <c r="E96" s="12">
        <f>H48</f>
        <v>0</v>
      </c>
      <c r="F96" s="12">
        <f>D96*(2*fb+fc)+E96</f>
        <v>809130421.68729722</v>
      </c>
      <c r="G96" s="1">
        <f>V34</f>
        <v>1215113.3706983814</v>
      </c>
      <c r="H96" s="1">
        <f>-F96/G96</f>
        <v>-665.88883078642516</v>
      </c>
      <c r="I96" s="1">
        <v>0</v>
      </c>
      <c r="J96" s="1">
        <f t="shared" si="17"/>
        <v>0</v>
      </c>
      <c r="K96">
        <f t="shared" si="18"/>
        <v>665.88883078642516</v>
      </c>
      <c r="L96" s="20"/>
    </row>
    <row r="97" spans="2:12" x14ac:dyDescent="0.25">
      <c r="B97">
        <v>6</v>
      </c>
      <c r="C97" s="7" t="s">
        <v>93</v>
      </c>
      <c r="D97" s="11">
        <f>D96</f>
        <v>44852393549.823326</v>
      </c>
      <c r="E97" s="12">
        <f>E96</f>
        <v>0</v>
      </c>
      <c r="F97" s="12">
        <f>D97*(2*fc+fb)+E97</f>
        <v>685442692.59304476</v>
      </c>
      <c r="G97" s="14">
        <f>G96</f>
        <v>1215113.3706983814</v>
      </c>
      <c r="H97" s="1">
        <f t="shared" si="19"/>
        <v>564.0977287568561</v>
      </c>
      <c r="I97" s="1">
        <v>0</v>
      </c>
      <c r="J97" s="1">
        <f t="shared" si="17"/>
        <v>0</v>
      </c>
      <c r="K97">
        <f t="shared" si="18"/>
        <v>564.0977287568561</v>
      </c>
      <c r="L97" s="21">
        <f>F97+F98+F99</f>
        <v>0</v>
      </c>
    </row>
    <row r="98" spans="2:12" x14ac:dyDescent="0.25">
      <c r="B98">
        <v>7</v>
      </c>
      <c r="C98" s="7" t="s">
        <v>94</v>
      </c>
      <c r="D98" s="11">
        <f>T37</f>
        <v>37376994624.852776</v>
      </c>
      <c r="E98" s="12">
        <f>H49</f>
        <v>83446990.953983992</v>
      </c>
      <c r="F98" s="12">
        <f>D98*(2*fc+fd)+E98</f>
        <v>293788268.83222252</v>
      </c>
      <c r="G98" s="1">
        <f>V37</f>
        <v>1215113.3706983814</v>
      </c>
      <c r="H98" s="1">
        <f>-F98/G98</f>
        <v>-241.77848414536737</v>
      </c>
      <c r="I98" s="17">
        <f>F98-pb*w*R37/12*(R37)</f>
        <v>85170791.447262526</v>
      </c>
      <c r="J98" s="1">
        <f t="shared" si="17"/>
        <v>70.092876517613306</v>
      </c>
      <c r="K98">
        <f t="shared" si="18"/>
        <v>241.77848414536737</v>
      </c>
      <c r="L98" s="22"/>
    </row>
    <row r="99" spans="2:12" x14ac:dyDescent="0.25">
      <c r="B99">
        <v>8</v>
      </c>
      <c r="C99" s="7" t="s">
        <v>95</v>
      </c>
      <c r="D99" s="11">
        <f>T35</f>
        <v>77212257110.091736</v>
      </c>
      <c r="E99" s="12">
        <f>H50</f>
        <v>-1560000000</v>
      </c>
      <c r="F99" s="12">
        <f>D99*(2*fc+fe)+E99</f>
        <v>-979230961.4252671</v>
      </c>
      <c r="G99" s="1">
        <f>V35</f>
        <v>3048347.1875865883</v>
      </c>
      <c r="H99" s="1">
        <f t="shared" si="19"/>
        <v>-321.23340983365335</v>
      </c>
      <c r="I99" s="12">
        <f>F99+0.125*pj*w*R35^2</f>
        <v>1360769038.5747328</v>
      </c>
      <c r="J99" s="1">
        <f t="shared" si="17"/>
        <v>446.39568751093253</v>
      </c>
      <c r="K99">
        <f t="shared" si="18"/>
        <v>446.39568751093253</v>
      </c>
      <c r="L99" s="22"/>
    </row>
    <row r="100" spans="2:12" x14ac:dyDescent="0.25">
      <c r="B100">
        <v>9</v>
      </c>
      <c r="C100" s="7" t="s">
        <v>96</v>
      </c>
      <c r="D100" s="11">
        <f>D98</f>
        <v>37376994624.852776</v>
      </c>
      <c r="E100" s="12">
        <f t="shared" ref="E100:E105" si="20">H51</f>
        <v>-125170486.43097599</v>
      </c>
      <c r="F100" s="12">
        <f>D100*(2*fd+fc)+E100</f>
        <v>-172617066.92349249</v>
      </c>
      <c r="G100" s="1">
        <f>G98</f>
        <v>1215113.3706983814</v>
      </c>
      <c r="H100" s="1">
        <f t="shared" si="19"/>
        <v>-142.05840466086019</v>
      </c>
      <c r="I100" s="17">
        <f>F100+pb*w*R37/2*(R37*(0.5-1/3))</f>
        <v>36000410.461467534</v>
      </c>
      <c r="J100" s="1">
        <f t="shared" si="17"/>
        <v>29.627202966893901</v>
      </c>
      <c r="K100">
        <f t="shared" si="18"/>
        <v>142.05840466086019</v>
      </c>
      <c r="L100" s="23">
        <f>F100+F101</f>
        <v>2.384185791015625E-7</v>
      </c>
    </row>
    <row r="101" spans="2:12" x14ac:dyDescent="0.25">
      <c r="B101">
        <v>10</v>
      </c>
      <c r="C101" s="7" t="s">
        <v>97</v>
      </c>
      <c r="D101" s="11">
        <f>T38</f>
        <v>80587623883.064514</v>
      </c>
      <c r="E101" s="12">
        <f t="shared" si="20"/>
        <v>579492992.73599994</v>
      </c>
      <c r="F101" s="12">
        <f>D101*(2*fd+ff)+E101</f>
        <v>172617066.92349273</v>
      </c>
      <c r="G101" s="1">
        <f>V38</f>
        <v>3084431.9008264467</v>
      </c>
      <c r="H101" s="1">
        <f>-F101/G101</f>
        <v>-55.963974071608291</v>
      </c>
      <c r="I101" s="12">
        <f>(F101-pb*w*R38^2*0.125)</f>
        <v>-696622422.18050718</v>
      </c>
      <c r="J101" s="1">
        <f>-I101/G101</f>
        <v>225.85112739686465</v>
      </c>
      <c r="K101">
        <f t="shared" si="18"/>
        <v>225.85112739686465</v>
      </c>
      <c r="L101" s="24"/>
    </row>
    <row r="102" spans="2:12" x14ac:dyDescent="0.25">
      <c r="B102">
        <v>11</v>
      </c>
      <c r="C102" s="7" t="s">
        <v>98</v>
      </c>
      <c r="D102" s="11">
        <f>D99</f>
        <v>77212257110.091736</v>
      </c>
      <c r="E102" s="12">
        <f t="shared" si="20"/>
        <v>1560000000</v>
      </c>
      <c r="F102" s="12">
        <f>D102*(2*fe+fc)+E102</f>
        <v>1754491165.2303181</v>
      </c>
      <c r="G102" s="1">
        <f>G99</f>
        <v>3048347.1875865883</v>
      </c>
      <c r="H102" s="1">
        <f>-F102/G102</f>
        <v>-575.55490148068372</v>
      </c>
      <c r="I102" s="12">
        <f>F102-0.125*pj*w*R35^2</f>
        <v>-585508834.76968193</v>
      </c>
      <c r="J102" s="1">
        <f t="shared" si="17"/>
        <v>-192.07419586390225</v>
      </c>
      <c r="K102">
        <f t="shared" si="18"/>
        <v>575.55490148068372</v>
      </c>
      <c r="L102" s="25">
        <f>F102+F103+F104</f>
        <v>0</v>
      </c>
    </row>
    <row r="103" spans="2:12" x14ac:dyDescent="0.25">
      <c r="B103">
        <v>12</v>
      </c>
      <c r="C103" s="7" t="s">
        <v>99</v>
      </c>
      <c r="D103" s="11">
        <f>T36</f>
        <v>77212257110.091736</v>
      </c>
      <c r="E103" s="12">
        <f t="shared" si="20"/>
        <v>-1560000000</v>
      </c>
      <c r="F103" s="12">
        <f>D103*(fe)+E103</f>
        <v>-1623928902.7046988</v>
      </c>
      <c r="G103" s="1">
        <f>V36</f>
        <v>3048347.1875865883</v>
      </c>
      <c r="H103" s="1">
        <f t="shared" si="19"/>
        <v>-532.72439219444095</v>
      </c>
      <c r="I103" s="12">
        <f>F103+0.125*pj*w*R36^2</f>
        <v>716071097.2953012</v>
      </c>
      <c r="J103" s="12">
        <f>I103/G103</f>
        <v>234.90470515014496</v>
      </c>
      <c r="K103">
        <f t="shared" si="18"/>
        <v>532.72439219444095</v>
      </c>
      <c r="L103" s="26"/>
    </row>
    <row r="104" spans="2:12" x14ac:dyDescent="0.25">
      <c r="B104">
        <v>13</v>
      </c>
      <c r="C104" s="7" t="s">
        <v>100</v>
      </c>
      <c r="D104" s="11">
        <f>T40</f>
        <v>37376994624.852776</v>
      </c>
      <c r="E104" s="12">
        <f t="shared" si="20"/>
        <v>-83446990.953983992</v>
      </c>
      <c r="F104" s="12">
        <f>D104*(2*fe+ff)+E104</f>
        <v>-130562262.52561933</v>
      </c>
      <c r="G104" s="1">
        <f>V40</f>
        <v>1215113.3706983814</v>
      </c>
      <c r="H104" s="1">
        <f t="shared" si="19"/>
        <v>-107.44862633729329</v>
      </c>
      <c r="I104" s="1">
        <v>0</v>
      </c>
      <c r="J104" s="1">
        <f t="shared" si="17"/>
        <v>0</v>
      </c>
      <c r="K104">
        <f t="shared" si="18"/>
        <v>107.44862633729329</v>
      </c>
      <c r="L104" s="26"/>
    </row>
    <row r="105" spans="2:12" x14ac:dyDescent="0.25">
      <c r="B105">
        <v>14</v>
      </c>
      <c r="C105" s="7" t="s">
        <v>101</v>
      </c>
      <c r="D105" s="11">
        <f>D101</f>
        <v>80587623883.064514</v>
      </c>
      <c r="E105" s="12">
        <f t="shared" si="20"/>
        <v>-579492992.73599994</v>
      </c>
      <c r="F105" s="12">
        <f>D105*(2*ff+fd)+E105</f>
        <v>-735136336.65034485</v>
      </c>
      <c r="G105" s="1">
        <f>G101</f>
        <v>3084431.9008264467</v>
      </c>
      <c r="H105" s="1">
        <f>F105/G105</f>
        <v>-238.33767782435768</v>
      </c>
      <c r="I105" s="12">
        <f>F105+pb*R38^2*0.125</f>
        <v>-734750007.98852086</v>
      </c>
      <c r="J105" s="12">
        <f>I105/G105</f>
        <v>-238.21242666814948</v>
      </c>
      <c r="K105">
        <f>MAX(ABS(H105),ABS(J105))</f>
        <v>238.33767782435768</v>
      </c>
      <c r="L105" s="27">
        <f>F105+F106+F107</f>
        <v>-208617477.38495982</v>
      </c>
    </row>
    <row r="106" spans="2:12" x14ac:dyDescent="0.25">
      <c r="B106">
        <v>15</v>
      </c>
      <c r="C106" s="7" t="s">
        <v>102</v>
      </c>
      <c r="D106" s="11">
        <f>D104</f>
        <v>37376994624.852776</v>
      </c>
      <c r="E106" s="12">
        <f>E104</f>
        <v>-83446990.953983992</v>
      </c>
      <c r="F106" s="12">
        <f>D106*(2*ff+fe)+E106</f>
        <v>-84837212.798554108</v>
      </c>
      <c r="G106" s="1">
        <f>G104</f>
        <v>1215113.3706983814</v>
      </c>
      <c r="H106" s="1">
        <f>-F106/G106</f>
        <v>69.818351805144133</v>
      </c>
      <c r="I106" s="1">
        <v>0</v>
      </c>
      <c r="J106" s="1">
        <f t="shared" si="17"/>
        <v>0</v>
      </c>
      <c r="K106">
        <f t="shared" si="18"/>
        <v>69.818351805144133</v>
      </c>
      <c r="L106" s="28"/>
    </row>
    <row r="107" spans="2:12" x14ac:dyDescent="0.25">
      <c r="B107">
        <v>16</v>
      </c>
      <c r="C107" s="7" t="s">
        <v>103</v>
      </c>
      <c r="D107" s="11">
        <f>T39</f>
        <v>80587623883.064514</v>
      </c>
      <c r="E107" s="12">
        <f>H57</f>
        <v>579492992.73599994</v>
      </c>
      <c r="F107" s="12">
        <f>D107*(ff)+E107</f>
        <v>611356072.06393909</v>
      </c>
      <c r="G107" s="1">
        <f>V39</f>
        <v>3084431.9008264467</v>
      </c>
      <c r="H107" s="1">
        <f t="shared" si="19"/>
        <v>198.20702538452269</v>
      </c>
      <c r="I107" s="1">
        <f>F107-pb*w*R39^2*0.125</f>
        <v>-257883417.04006088</v>
      </c>
      <c r="J107" s="1">
        <f t="shared" si="17"/>
        <v>-83.608076083950266</v>
      </c>
      <c r="K107">
        <f t="shared" si="18"/>
        <v>198.20702538452269</v>
      </c>
      <c r="L107" s="28"/>
    </row>
    <row r="112" spans="2:12" x14ac:dyDescent="0.25">
      <c r="B112" t="s">
        <v>118</v>
      </c>
    </row>
    <row r="114" spans="3:5" x14ac:dyDescent="0.25">
      <c r="C114" t="s">
        <v>119</v>
      </c>
      <c r="D114" t="s">
        <v>120</v>
      </c>
      <c r="E114" t="s">
        <v>121</v>
      </c>
    </row>
    <row r="115" spans="3:5" x14ac:dyDescent="0.25">
      <c r="E115" t="s">
        <v>131</v>
      </c>
    </row>
    <row r="116" spans="3:5" x14ac:dyDescent="0.25">
      <c r="C116" t="s">
        <v>123</v>
      </c>
      <c r="D116" t="s">
        <v>120</v>
      </c>
      <c r="E116" t="s">
        <v>121</v>
      </c>
    </row>
    <row r="117" spans="3:5" x14ac:dyDescent="0.25">
      <c r="E117" t="s">
        <v>122</v>
      </c>
    </row>
    <row r="118" spans="3:5" x14ac:dyDescent="0.25">
      <c r="C118" t="s">
        <v>124</v>
      </c>
      <c r="D118" t="s">
        <v>120</v>
      </c>
      <c r="E118" t="s">
        <v>121</v>
      </c>
    </row>
    <row r="119" spans="3:5" x14ac:dyDescent="0.25">
      <c r="E119" t="s">
        <v>131</v>
      </c>
    </row>
    <row r="120" spans="3:5" x14ac:dyDescent="0.25">
      <c r="C120" t="s">
        <v>125</v>
      </c>
      <c r="D120" t="s">
        <v>120</v>
      </c>
      <c r="E120" t="s">
        <v>121</v>
      </c>
    </row>
    <row r="121" spans="3:5" x14ac:dyDescent="0.25">
      <c r="E121" t="s">
        <v>122</v>
      </c>
    </row>
    <row r="122" spans="3:5" x14ac:dyDescent="0.25">
      <c r="C122" t="s">
        <v>126</v>
      </c>
      <c r="D122" t="s">
        <v>120</v>
      </c>
      <c r="E122" t="s">
        <v>121</v>
      </c>
    </row>
    <row r="123" spans="3:5" x14ac:dyDescent="0.25">
      <c r="E123" t="s">
        <v>122</v>
      </c>
    </row>
    <row r="124" spans="3:5" x14ac:dyDescent="0.25">
      <c r="C124" t="s">
        <v>127</v>
      </c>
      <c r="D124" t="s">
        <v>120</v>
      </c>
      <c r="E124" t="s">
        <v>121</v>
      </c>
    </row>
    <row r="125" spans="3:5" x14ac:dyDescent="0.25">
      <c r="E125" t="s">
        <v>122</v>
      </c>
    </row>
    <row r="126" spans="3:5" x14ac:dyDescent="0.25">
      <c r="C126" t="s">
        <v>133</v>
      </c>
      <c r="D126" t="s">
        <v>120</v>
      </c>
      <c r="E126" t="s">
        <v>121</v>
      </c>
    </row>
    <row r="127" spans="3:5" x14ac:dyDescent="0.25">
      <c r="E127" t="s">
        <v>122</v>
      </c>
    </row>
    <row r="128" spans="3:5" x14ac:dyDescent="0.25">
      <c r="C128" t="s">
        <v>128</v>
      </c>
      <c r="D128" t="s">
        <v>120</v>
      </c>
      <c r="E128" t="s">
        <v>121</v>
      </c>
    </row>
    <row r="129" spans="3:5" x14ac:dyDescent="0.25">
      <c r="E129" t="s">
        <v>131</v>
      </c>
    </row>
    <row r="130" spans="3:5" x14ac:dyDescent="0.25">
      <c r="C130" t="s">
        <v>129</v>
      </c>
      <c r="D130" t="s">
        <v>120</v>
      </c>
      <c r="E130" t="s">
        <v>121</v>
      </c>
    </row>
    <row r="131" spans="3:5" x14ac:dyDescent="0.25">
      <c r="E131" t="s">
        <v>122</v>
      </c>
    </row>
    <row r="132" spans="3:5" x14ac:dyDescent="0.25">
      <c r="C132" t="s">
        <v>130</v>
      </c>
      <c r="D132" t="s">
        <v>120</v>
      </c>
      <c r="E132" t="s">
        <v>121</v>
      </c>
    </row>
    <row r="133" spans="3:5" x14ac:dyDescent="0.25">
      <c r="E133" t="s">
        <v>132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DC031-36F5-4D5C-8DF6-0B974B0E87EF}">
  <dimension ref="B2:V133"/>
  <sheetViews>
    <sheetView topLeftCell="A76" workbookViewId="0">
      <selection activeCell="H69" sqref="H69"/>
    </sheetView>
  </sheetViews>
  <sheetFormatPr defaultRowHeight="15" x14ac:dyDescent="0.25"/>
  <cols>
    <col min="3" max="3" width="18.28515625" customWidth="1"/>
    <col min="4" max="4" width="18" customWidth="1"/>
    <col min="5" max="5" width="17.7109375" customWidth="1"/>
    <col min="6" max="6" width="16.28515625" customWidth="1"/>
    <col min="7" max="7" width="13.85546875" customWidth="1"/>
    <col min="8" max="8" width="15" customWidth="1"/>
    <col min="9" max="9" width="12" customWidth="1"/>
    <col min="10" max="10" width="12" bestFit="1" customWidth="1"/>
    <col min="11" max="11" width="11" bestFit="1" customWidth="1"/>
    <col min="12" max="12" width="16.85546875" bestFit="1" customWidth="1"/>
    <col min="17" max="17" width="12.5703125" bestFit="1" customWidth="1"/>
    <col min="20" max="20" width="14.42578125" customWidth="1"/>
    <col min="22" max="22" width="11.85546875" customWidth="1"/>
  </cols>
  <sheetData>
    <row r="2" spans="2:15" ht="15.75" x14ac:dyDescent="0.25">
      <c r="B2" s="95" t="s">
        <v>0</v>
      </c>
    </row>
    <row r="3" spans="2:15" x14ac:dyDescent="0.25">
      <c r="N3" s="9"/>
      <c r="O3" t="s">
        <v>106</v>
      </c>
    </row>
    <row r="4" spans="2:15" x14ac:dyDescent="0.25">
      <c r="N4" s="2"/>
      <c r="O4" t="s">
        <v>107</v>
      </c>
    </row>
    <row r="5" spans="2:15" x14ac:dyDescent="0.25">
      <c r="N5" s="10"/>
      <c r="O5" t="s">
        <v>108</v>
      </c>
    </row>
    <row r="10" spans="2:15" x14ac:dyDescent="0.25">
      <c r="B10" t="s">
        <v>1</v>
      </c>
    </row>
    <row r="12" spans="2:15" x14ac:dyDescent="0.25">
      <c r="B12" s="1" t="s">
        <v>2</v>
      </c>
      <c r="C12" s="93">
        <v>120</v>
      </c>
      <c r="D12" s="1" t="s">
        <v>11</v>
      </c>
    </row>
    <row r="13" spans="2:15" x14ac:dyDescent="0.25">
      <c r="B13" s="1" t="s">
        <v>3</v>
      </c>
      <c r="C13" s="93">
        <v>24</v>
      </c>
      <c r="D13" s="1" t="s">
        <v>11</v>
      </c>
    </row>
    <row r="14" spans="2:15" x14ac:dyDescent="0.25">
      <c r="B14" s="1" t="s">
        <v>4</v>
      </c>
      <c r="C14" s="93">
        <v>12</v>
      </c>
      <c r="D14" s="1" t="s">
        <v>11</v>
      </c>
    </row>
    <row r="15" spans="2:15" x14ac:dyDescent="0.25">
      <c r="B15" s="94" t="s">
        <v>5</v>
      </c>
      <c r="C15" s="93">
        <v>2250</v>
      </c>
      <c r="D15" s="1" t="s">
        <v>17</v>
      </c>
    </row>
    <row r="16" spans="2:15" x14ac:dyDescent="0.25">
      <c r="B16" s="1" t="s">
        <v>18</v>
      </c>
      <c r="C16" s="93">
        <v>4800</v>
      </c>
      <c r="D16" s="1" t="s">
        <v>17</v>
      </c>
    </row>
    <row r="17" spans="2:22" ht="17.25" x14ac:dyDescent="0.25">
      <c r="B17" s="1" t="s">
        <v>6</v>
      </c>
      <c r="C17" s="93">
        <v>1.0259E-6</v>
      </c>
      <c r="D17" s="1" t="s">
        <v>16</v>
      </c>
    </row>
    <row r="18" spans="2:22" ht="17.25" x14ac:dyDescent="0.25">
      <c r="B18" s="1" t="s">
        <v>117</v>
      </c>
      <c r="C18" s="93">
        <v>1.5</v>
      </c>
      <c r="D18" s="1" t="s">
        <v>16</v>
      </c>
    </row>
    <row r="19" spans="2:22" ht="17.25" x14ac:dyDescent="0.25">
      <c r="B19" s="1" t="s">
        <v>22</v>
      </c>
      <c r="C19" s="93">
        <v>9806.65</v>
      </c>
      <c r="D19" s="1" t="s">
        <v>23</v>
      </c>
    </row>
    <row r="20" spans="2:22" ht="17.25" x14ac:dyDescent="0.25">
      <c r="B20" s="1" t="s">
        <v>21</v>
      </c>
      <c r="C20" s="93">
        <f>C17*C19*C16*10^-3</f>
        <v>4.8291082728E-2</v>
      </c>
      <c r="D20" s="1" t="s">
        <v>15</v>
      </c>
    </row>
    <row r="21" spans="2:22" ht="17.25" x14ac:dyDescent="0.25">
      <c r="B21" s="94" t="s">
        <v>7</v>
      </c>
      <c r="C21" s="93">
        <v>0.13</v>
      </c>
      <c r="D21" s="1" t="s">
        <v>15</v>
      </c>
    </row>
    <row r="22" spans="2:22" ht="17.25" x14ac:dyDescent="0.25">
      <c r="B22" s="94" t="s">
        <v>8</v>
      </c>
      <c r="C22" s="93">
        <v>0.02</v>
      </c>
      <c r="D22" s="1" t="s">
        <v>15</v>
      </c>
    </row>
    <row r="23" spans="2:22" ht="17.25" x14ac:dyDescent="0.25">
      <c r="B23" s="94" t="s">
        <v>9</v>
      </c>
      <c r="C23" s="93">
        <v>0.02</v>
      </c>
      <c r="D23" s="1" t="s">
        <v>15</v>
      </c>
    </row>
    <row r="25" spans="2:22" x14ac:dyDescent="0.25">
      <c r="B25" s="1"/>
      <c r="C25" s="1" t="s">
        <v>19</v>
      </c>
      <c r="D25" s="1" t="s">
        <v>20</v>
      </c>
      <c r="E25" s="1" t="s">
        <v>10</v>
      </c>
      <c r="F25" s="1"/>
    </row>
    <row r="26" spans="2:22" x14ac:dyDescent="0.25">
      <c r="B26" s="1" t="s">
        <v>13</v>
      </c>
      <c r="C26" s="1"/>
      <c r="D26" s="1"/>
      <c r="E26" s="1">
        <v>0</v>
      </c>
      <c r="F26" s="1" t="s">
        <v>12</v>
      </c>
    </row>
    <row r="27" spans="2:22" x14ac:dyDescent="0.25">
      <c r="B27" s="1" t="s">
        <v>14</v>
      </c>
      <c r="C27" s="1">
        <v>4800</v>
      </c>
      <c r="D27" s="1">
        <v>6400</v>
      </c>
      <c r="E27" s="1">
        <v>4800</v>
      </c>
      <c r="F27" s="1" t="s">
        <v>17</v>
      </c>
    </row>
    <row r="30" spans="2:22" ht="17.25" x14ac:dyDescent="0.25">
      <c r="C30" s="1"/>
      <c r="D30" s="1" t="s">
        <v>48</v>
      </c>
      <c r="E30" s="1"/>
      <c r="F30" s="1" t="s">
        <v>36</v>
      </c>
      <c r="G30" s="1" t="s">
        <v>38</v>
      </c>
      <c r="H30" s="1" t="s">
        <v>39</v>
      </c>
      <c r="I30" s="1" t="s">
        <v>40</v>
      </c>
      <c r="J30" s="1" t="s">
        <v>41</v>
      </c>
      <c r="K30" s="1" t="s">
        <v>42</v>
      </c>
      <c r="L30" s="1" t="s">
        <v>44</v>
      </c>
      <c r="M30" s="1" t="s">
        <v>45</v>
      </c>
      <c r="N30" s="1" t="s">
        <v>46</v>
      </c>
      <c r="O30" s="1" t="s">
        <v>47</v>
      </c>
      <c r="P30" s="1" t="s">
        <v>43</v>
      </c>
      <c r="Q30" s="29" t="s">
        <v>37</v>
      </c>
      <c r="R30" s="29" t="s">
        <v>34</v>
      </c>
      <c r="S30" s="29" t="s">
        <v>35</v>
      </c>
      <c r="T30" s="29" t="s">
        <v>50</v>
      </c>
      <c r="U30" s="29" t="s">
        <v>110</v>
      </c>
      <c r="V30" s="29" t="s">
        <v>111</v>
      </c>
    </row>
    <row r="31" spans="2:22" x14ac:dyDescent="0.25">
      <c r="C31" s="1" t="s">
        <v>24</v>
      </c>
      <c r="D31" s="93" t="s">
        <v>49</v>
      </c>
      <c r="E31" s="1"/>
      <c r="F31" s="1">
        <v>10</v>
      </c>
      <c r="G31" s="48">
        <f t="shared" ref="G31:G40" si="0">w</f>
        <v>2250</v>
      </c>
      <c r="H31" s="93">
        <f>Optimizacijski_problem!D4</f>
        <v>600</v>
      </c>
      <c r="I31" s="93">
        <f>Optimizacijski_problem!E4</f>
        <v>12</v>
      </c>
      <c r="J31" s="93">
        <f>Optimizacijski_problem!F4</f>
        <v>200</v>
      </c>
      <c r="K31" s="93">
        <f>Optimizacijski_problem!G4</f>
        <v>15</v>
      </c>
      <c r="L31" s="1">
        <f>G31*F31</f>
        <v>22500</v>
      </c>
      <c r="M31" s="1">
        <f>H31*I31</f>
        <v>7200</v>
      </c>
      <c r="N31" s="1">
        <f>J31*K31</f>
        <v>3000</v>
      </c>
      <c r="O31" s="1">
        <f>L31+M31+N31</f>
        <v>32700</v>
      </c>
      <c r="P31" s="1">
        <f>(0.5*F31*L31+M31*(F31+0.5*H31)+N31*(F31+H31+0.5*K31))/O31</f>
        <v>128.348623853211</v>
      </c>
      <c r="Q31" s="12">
        <f>(G31*F31^3)/12+L31*(0.5*F31-P31)^2+(I31*H31^3)/12+M31*(F31+0.5*H31-P31)^2+(J31*K31^3)/12+N31*(F31+H31+0.5*K31-P31)^2</f>
        <v>1513965825.6880732</v>
      </c>
      <c r="R31" s="1">
        <v>24000</v>
      </c>
      <c r="S31" s="1">
        <v>204000</v>
      </c>
      <c r="T31" s="12">
        <f>2*S31*Q31/R31</f>
        <v>25737419036.697247</v>
      </c>
      <c r="U31" s="1">
        <f>F31+H31+K31-P31</f>
        <v>496.651376146789</v>
      </c>
      <c r="V31" s="1">
        <f>Q31/U31</f>
        <v>3048347.1875865883</v>
      </c>
    </row>
    <row r="32" spans="2:22" x14ac:dyDescent="0.25">
      <c r="C32" s="1" t="s">
        <v>25</v>
      </c>
      <c r="D32" s="93" t="s">
        <v>51</v>
      </c>
      <c r="E32" s="1"/>
      <c r="F32" s="1">
        <v>10</v>
      </c>
      <c r="G32" s="48">
        <f t="shared" si="0"/>
        <v>2250</v>
      </c>
      <c r="H32" s="93">
        <f>Optimizacijski_problem!D5</f>
        <v>400</v>
      </c>
      <c r="I32" s="93">
        <f>Optimizacijski_problem!E5</f>
        <v>10</v>
      </c>
      <c r="J32" s="93">
        <f>Optimizacijski_problem!F5</f>
        <v>150</v>
      </c>
      <c r="K32" s="93">
        <f>Optimizacijski_problem!G5</f>
        <v>12</v>
      </c>
      <c r="L32" s="1">
        <f t="shared" ref="L32:L40" si="1">G32*F32</f>
        <v>22500</v>
      </c>
      <c r="M32" s="1">
        <f t="shared" ref="M32:M40" si="2">H32*I32</f>
        <v>4000</v>
      </c>
      <c r="N32" s="1">
        <f t="shared" ref="N32:N40" si="3">J32*K32</f>
        <v>1800</v>
      </c>
      <c r="O32" s="1">
        <f t="shared" ref="O32:O40" si="4">L32+M32+N32</f>
        <v>28300</v>
      </c>
      <c r="P32" s="1">
        <f t="shared" ref="P32:P40" si="5">(0.5*F32*L32+M32*(F32+0.5*H32)+N32*(F32+H32+0.5*K32))/O32</f>
        <v>60.116607773851591</v>
      </c>
      <c r="Q32" s="12">
        <f t="shared" ref="Q32:Q40" si="6">(G32*F32^3)/12+L32*(0.5*F32-P32)^2+(I32*H32^3)/12+M32*(F32+0.5*H32-P32)^2+(J32*K32^3)/12+N32*(F32+H32+0.5*K32-P32)^2</f>
        <v>439729348.52767968</v>
      </c>
      <c r="R32" s="1">
        <v>4000</v>
      </c>
      <c r="S32" s="1">
        <v>204000</v>
      </c>
      <c r="T32" s="12">
        <f t="shared" ref="T32:T40" si="7">2*S32*Q32/R32</f>
        <v>44852393549.823326</v>
      </c>
      <c r="U32" s="1">
        <f t="shared" ref="U32:U40" si="8">F32+H32+K32-P32</f>
        <v>361.88339222614843</v>
      </c>
      <c r="V32" s="1">
        <f t="shared" ref="V32:V40" si="9">Q32/U32</f>
        <v>1215113.3706983814</v>
      </c>
    </row>
    <row r="33" spans="3:22" x14ac:dyDescent="0.25">
      <c r="C33" s="1" t="s">
        <v>26</v>
      </c>
      <c r="D33" s="93" t="s">
        <v>49</v>
      </c>
      <c r="E33" s="1"/>
      <c r="F33" s="1">
        <v>10</v>
      </c>
      <c r="G33" s="48">
        <f t="shared" si="0"/>
        <v>2250</v>
      </c>
      <c r="H33" s="93">
        <f>Optimizacijski_problem!D6</f>
        <v>600</v>
      </c>
      <c r="I33" s="93">
        <f>Optimizacijski_problem!E6</f>
        <v>12</v>
      </c>
      <c r="J33" s="93">
        <f>Optimizacijski_problem!F6</f>
        <v>200</v>
      </c>
      <c r="K33" s="93">
        <f>Optimizacijski_problem!G6</f>
        <v>15</v>
      </c>
      <c r="L33" s="1">
        <f t="shared" si="1"/>
        <v>22500</v>
      </c>
      <c r="M33" s="1">
        <f t="shared" si="2"/>
        <v>7200</v>
      </c>
      <c r="N33" s="1">
        <f t="shared" si="3"/>
        <v>3000</v>
      </c>
      <c r="O33" s="1">
        <f t="shared" si="4"/>
        <v>32700</v>
      </c>
      <c r="P33" s="1">
        <f t="shared" si="5"/>
        <v>128.348623853211</v>
      </c>
      <c r="Q33" s="12">
        <f t="shared" si="6"/>
        <v>1513965825.6880732</v>
      </c>
      <c r="R33" s="1">
        <v>24000</v>
      </c>
      <c r="S33" s="1">
        <v>204000</v>
      </c>
      <c r="T33" s="12">
        <f t="shared" si="7"/>
        <v>25737419036.697247</v>
      </c>
      <c r="U33" s="1">
        <f t="shared" si="8"/>
        <v>496.651376146789</v>
      </c>
      <c r="V33" s="1">
        <f t="shared" si="9"/>
        <v>3048347.1875865883</v>
      </c>
    </row>
    <row r="34" spans="3:22" x14ac:dyDescent="0.25">
      <c r="C34" s="1" t="s">
        <v>27</v>
      </c>
      <c r="D34" s="93" t="s">
        <v>51</v>
      </c>
      <c r="E34" s="1"/>
      <c r="F34" s="1">
        <v>10</v>
      </c>
      <c r="G34" s="48">
        <f t="shared" si="0"/>
        <v>2250</v>
      </c>
      <c r="H34" s="93">
        <f>Optimizacijski_problem!D7</f>
        <v>400</v>
      </c>
      <c r="I34" s="93">
        <f>Optimizacijski_problem!E7</f>
        <v>10</v>
      </c>
      <c r="J34" s="93">
        <f>Optimizacijski_problem!F7</f>
        <v>150</v>
      </c>
      <c r="K34" s="93">
        <f>Optimizacijski_problem!G7</f>
        <v>12</v>
      </c>
      <c r="L34" s="1">
        <f t="shared" si="1"/>
        <v>22500</v>
      </c>
      <c r="M34" s="1">
        <f t="shared" si="2"/>
        <v>4000</v>
      </c>
      <c r="N34" s="1">
        <f t="shared" si="3"/>
        <v>1800</v>
      </c>
      <c r="O34" s="1">
        <f t="shared" si="4"/>
        <v>28300</v>
      </c>
      <c r="P34" s="1">
        <f t="shared" si="5"/>
        <v>60.116607773851591</v>
      </c>
      <c r="Q34" s="12">
        <f t="shared" si="6"/>
        <v>439729348.52767968</v>
      </c>
      <c r="R34" s="1">
        <v>4000</v>
      </c>
      <c r="S34" s="1">
        <v>204000</v>
      </c>
      <c r="T34" s="12">
        <f t="shared" si="7"/>
        <v>44852393549.823326</v>
      </c>
      <c r="U34" s="1">
        <f t="shared" si="8"/>
        <v>361.88339222614843</v>
      </c>
      <c r="V34" s="1">
        <f t="shared" si="9"/>
        <v>1215113.3706983814</v>
      </c>
    </row>
    <row r="35" spans="3:22" x14ac:dyDescent="0.25">
      <c r="C35" s="1" t="s">
        <v>28</v>
      </c>
      <c r="D35" s="93" t="s">
        <v>49</v>
      </c>
      <c r="E35" s="1"/>
      <c r="F35" s="1">
        <v>10</v>
      </c>
      <c r="G35" s="48">
        <f t="shared" si="0"/>
        <v>2250</v>
      </c>
      <c r="H35" s="93">
        <f>Optimizacijski_problem!D8</f>
        <v>600</v>
      </c>
      <c r="I35" s="93">
        <f>Optimizacijski_problem!E8</f>
        <v>12</v>
      </c>
      <c r="J35" s="93">
        <f>Optimizacijski_problem!F8</f>
        <v>200</v>
      </c>
      <c r="K35" s="93">
        <f>Optimizacijski_problem!G8</f>
        <v>15</v>
      </c>
      <c r="L35" s="1">
        <f t="shared" si="1"/>
        <v>22500</v>
      </c>
      <c r="M35" s="1">
        <f t="shared" si="2"/>
        <v>7200</v>
      </c>
      <c r="N35" s="1">
        <f t="shared" si="3"/>
        <v>3000</v>
      </c>
      <c r="O35" s="1">
        <f t="shared" si="4"/>
        <v>32700</v>
      </c>
      <c r="P35" s="1">
        <f t="shared" si="5"/>
        <v>128.348623853211</v>
      </c>
      <c r="Q35" s="12">
        <f t="shared" si="6"/>
        <v>1513965825.6880732</v>
      </c>
      <c r="R35" s="1">
        <v>8000</v>
      </c>
      <c r="S35" s="1">
        <v>204000</v>
      </c>
      <c r="T35" s="12">
        <f t="shared" si="7"/>
        <v>77212257110.091736</v>
      </c>
      <c r="U35" s="1">
        <f t="shared" si="8"/>
        <v>496.651376146789</v>
      </c>
      <c r="V35" s="1">
        <f t="shared" si="9"/>
        <v>3048347.1875865883</v>
      </c>
    </row>
    <row r="36" spans="3:22" x14ac:dyDescent="0.25">
      <c r="C36" s="1" t="s">
        <v>29</v>
      </c>
      <c r="D36" s="93" t="s">
        <v>49</v>
      </c>
      <c r="E36" s="1"/>
      <c r="F36" s="1">
        <v>10</v>
      </c>
      <c r="G36" s="48">
        <f t="shared" si="0"/>
        <v>2250</v>
      </c>
      <c r="H36" s="93">
        <f>Optimizacijski_problem!D9</f>
        <v>600</v>
      </c>
      <c r="I36" s="93">
        <f>Optimizacijski_problem!E9</f>
        <v>12</v>
      </c>
      <c r="J36" s="93">
        <f>Optimizacijski_problem!F9</f>
        <v>200</v>
      </c>
      <c r="K36" s="93">
        <f>Optimizacijski_problem!G9</f>
        <v>15</v>
      </c>
      <c r="L36" s="1">
        <f t="shared" si="1"/>
        <v>22500</v>
      </c>
      <c r="M36" s="1">
        <f t="shared" si="2"/>
        <v>7200</v>
      </c>
      <c r="N36" s="1">
        <f t="shared" si="3"/>
        <v>3000</v>
      </c>
      <c r="O36" s="1">
        <f t="shared" si="4"/>
        <v>32700</v>
      </c>
      <c r="P36" s="1">
        <f t="shared" si="5"/>
        <v>128.348623853211</v>
      </c>
      <c r="Q36" s="12">
        <f t="shared" si="6"/>
        <v>1513965825.6880732</v>
      </c>
      <c r="R36" s="1">
        <v>8000</v>
      </c>
      <c r="S36" s="1">
        <v>204000</v>
      </c>
      <c r="T36" s="12">
        <f t="shared" si="7"/>
        <v>77212257110.091736</v>
      </c>
      <c r="U36" s="1">
        <f t="shared" si="8"/>
        <v>496.651376146789</v>
      </c>
      <c r="V36" s="1">
        <f t="shared" si="9"/>
        <v>3048347.1875865883</v>
      </c>
    </row>
    <row r="37" spans="3:22" x14ac:dyDescent="0.25">
      <c r="C37" s="1" t="s">
        <v>30</v>
      </c>
      <c r="D37" s="93" t="s">
        <v>51</v>
      </c>
      <c r="E37" s="1"/>
      <c r="F37" s="1">
        <v>10</v>
      </c>
      <c r="G37" s="48">
        <f t="shared" si="0"/>
        <v>2250</v>
      </c>
      <c r="H37" s="93">
        <f>Optimizacijski_problem!D10</f>
        <v>400</v>
      </c>
      <c r="I37" s="93">
        <f>Optimizacijski_problem!E10</f>
        <v>10</v>
      </c>
      <c r="J37" s="93">
        <f>Optimizacijski_problem!F10</f>
        <v>150</v>
      </c>
      <c r="K37" s="93">
        <f>Optimizacijski_problem!G10</f>
        <v>12</v>
      </c>
      <c r="L37" s="1">
        <f t="shared" si="1"/>
        <v>22500</v>
      </c>
      <c r="M37" s="1">
        <f t="shared" si="2"/>
        <v>4000</v>
      </c>
      <c r="N37" s="1">
        <f t="shared" si="3"/>
        <v>1800</v>
      </c>
      <c r="O37" s="1">
        <f t="shared" si="4"/>
        <v>28300</v>
      </c>
      <c r="P37" s="1">
        <f t="shared" si="5"/>
        <v>60.116607773851591</v>
      </c>
      <c r="Q37" s="12">
        <f t="shared" si="6"/>
        <v>439729348.52767968</v>
      </c>
      <c r="R37" s="1">
        <v>4800</v>
      </c>
      <c r="S37" s="1">
        <v>204000</v>
      </c>
      <c r="T37" s="12">
        <f t="shared" si="7"/>
        <v>37376994624.852776</v>
      </c>
      <c r="U37" s="1">
        <f t="shared" si="8"/>
        <v>361.88339222614843</v>
      </c>
      <c r="V37" s="1">
        <f t="shared" si="9"/>
        <v>1215113.3706983814</v>
      </c>
    </row>
    <row r="38" spans="3:22" x14ac:dyDescent="0.25">
      <c r="C38" s="1" t="s">
        <v>31</v>
      </c>
      <c r="D38" s="93" t="s">
        <v>49</v>
      </c>
      <c r="E38" s="1"/>
      <c r="F38" s="1">
        <v>12</v>
      </c>
      <c r="G38" s="48">
        <f t="shared" si="0"/>
        <v>2250</v>
      </c>
      <c r="H38" s="93">
        <f>Optimizacijski_problem!D11</f>
        <v>600</v>
      </c>
      <c r="I38" s="93">
        <f>Optimizacijski_problem!E11</f>
        <v>12</v>
      </c>
      <c r="J38" s="93">
        <f>Optimizacijski_problem!F11</f>
        <v>200</v>
      </c>
      <c r="K38" s="93">
        <f>Optimizacijski_problem!G11</f>
        <v>15</v>
      </c>
      <c r="L38" s="1">
        <f t="shared" si="1"/>
        <v>27000</v>
      </c>
      <c r="M38" s="1">
        <f t="shared" si="2"/>
        <v>7200</v>
      </c>
      <c r="N38" s="1">
        <f t="shared" si="3"/>
        <v>3000</v>
      </c>
      <c r="O38" s="1">
        <f t="shared" si="4"/>
        <v>37200</v>
      </c>
      <c r="P38" s="1">
        <f t="shared" si="5"/>
        <v>114.70161290322581</v>
      </c>
      <c r="Q38" s="12">
        <f t="shared" si="6"/>
        <v>1580149487.9032259</v>
      </c>
      <c r="R38" s="1">
        <v>8000</v>
      </c>
      <c r="S38" s="1">
        <v>204000</v>
      </c>
      <c r="T38" s="12">
        <f t="shared" si="7"/>
        <v>80587623883.064514</v>
      </c>
      <c r="U38" s="1">
        <f t="shared" si="8"/>
        <v>512.29838709677415</v>
      </c>
      <c r="V38" s="1">
        <f t="shared" si="9"/>
        <v>3084431.9008264467</v>
      </c>
    </row>
    <row r="39" spans="3:22" x14ac:dyDescent="0.25">
      <c r="C39" s="1" t="s">
        <v>32</v>
      </c>
      <c r="D39" s="93" t="s">
        <v>49</v>
      </c>
      <c r="E39" s="1"/>
      <c r="F39" s="1">
        <v>12</v>
      </c>
      <c r="G39" s="48">
        <f t="shared" si="0"/>
        <v>2250</v>
      </c>
      <c r="H39" s="93">
        <f>Optimizacijski_problem!D12</f>
        <v>600</v>
      </c>
      <c r="I39" s="93">
        <f>Optimizacijski_problem!E12</f>
        <v>12</v>
      </c>
      <c r="J39" s="93">
        <f>Optimizacijski_problem!F12</f>
        <v>200</v>
      </c>
      <c r="K39" s="93">
        <f>Optimizacijski_problem!G12</f>
        <v>15</v>
      </c>
      <c r="L39" s="1">
        <f t="shared" si="1"/>
        <v>27000</v>
      </c>
      <c r="M39" s="1">
        <f t="shared" si="2"/>
        <v>7200</v>
      </c>
      <c r="N39" s="1">
        <f t="shared" si="3"/>
        <v>3000</v>
      </c>
      <c r="O39" s="1">
        <f t="shared" si="4"/>
        <v>37200</v>
      </c>
      <c r="P39" s="1">
        <f t="shared" si="5"/>
        <v>114.70161290322581</v>
      </c>
      <c r="Q39" s="12">
        <f t="shared" si="6"/>
        <v>1580149487.9032259</v>
      </c>
      <c r="R39" s="1">
        <v>8000</v>
      </c>
      <c r="S39" s="1">
        <v>204000</v>
      </c>
      <c r="T39" s="12">
        <f t="shared" si="7"/>
        <v>80587623883.064514</v>
      </c>
      <c r="U39" s="1">
        <f t="shared" si="8"/>
        <v>512.29838709677415</v>
      </c>
      <c r="V39" s="1">
        <f t="shared" si="9"/>
        <v>3084431.9008264467</v>
      </c>
    </row>
    <row r="40" spans="3:22" x14ac:dyDescent="0.25">
      <c r="C40" s="1" t="s">
        <v>33</v>
      </c>
      <c r="D40" s="93" t="s">
        <v>51</v>
      </c>
      <c r="E40" s="1"/>
      <c r="F40" s="1">
        <v>10</v>
      </c>
      <c r="G40" s="48">
        <f t="shared" si="0"/>
        <v>2250</v>
      </c>
      <c r="H40" s="93">
        <f>Optimizacijski_problem!D13</f>
        <v>400</v>
      </c>
      <c r="I40" s="93">
        <f>Optimizacijski_problem!E13</f>
        <v>10</v>
      </c>
      <c r="J40" s="93">
        <f>Optimizacijski_problem!F13</f>
        <v>150</v>
      </c>
      <c r="K40" s="93">
        <f>Optimizacijski_problem!G13</f>
        <v>12</v>
      </c>
      <c r="L40" s="1">
        <f t="shared" si="1"/>
        <v>22500</v>
      </c>
      <c r="M40" s="1">
        <f t="shared" si="2"/>
        <v>4000</v>
      </c>
      <c r="N40" s="1">
        <f t="shared" si="3"/>
        <v>1800</v>
      </c>
      <c r="O40" s="1">
        <f t="shared" si="4"/>
        <v>28300</v>
      </c>
      <c r="P40" s="1">
        <f t="shared" si="5"/>
        <v>60.116607773851591</v>
      </c>
      <c r="Q40" s="12">
        <f t="shared" si="6"/>
        <v>439729348.52767968</v>
      </c>
      <c r="R40" s="1">
        <v>4800</v>
      </c>
      <c r="S40" s="1">
        <v>204000</v>
      </c>
      <c r="T40" s="12">
        <f t="shared" si="7"/>
        <v>37376994624.852776</v>
      </c>
      <c r="U40" s="1">
        <f t="shared" si="8"/>
        <v>361.88339222614843</v>
      </c>
      <c r="V40" s="1">
        <f t="shared" si="9"/>
        <v>1215113.3706983814</v>
      </c>
    </row>
    <row r="42" spans="3:22" x14ac:dyDescent="0.25">
      <c r="C42" t="s">
        <v>52</v>
      </c>
    </row>
    <row r="44" spans="3:22" x14ac:dyDescent="0.25">
      <c r="C44" s="1"/>
      <c r="D44" s="1" t="s">
        <v>68</v>
      </c>
      <c r="E44" s="1" t="s">
        <v>65</v>
      </c>
      <c r="F44" s="1" t="s">
        <v>67</v>
      </c>
      <c r="G44" s="1" t="s">
        <v>66</v>
      </c>
      <c r="H44" s="29" t="s">
        <v>69</v>
      </c>
      <c r="I44" s="1"/>
      <c r="J44" s="1"/>
    </row>
    <row r="45" spans="3:22" x14ac:dyDescent="0.25">
      <c r="C45" s="1" t="s">
        <v>53</v>
      </c>
      <c r="D45" s="1">
        <v>-1</v>
      </c>
      <c r="E45" s="1">
        <f>R31</f>
        <v>24000</v>
      </c>
      <c r="F45" s="1">
        <f>pt</f>
        <v>1.6E-2</v>
      </c>
      <c r="G45" s="1">
        <f t="shared" ref="G45:G57" si="10">F45*w</f>
        <v>36</v>
      </c>
      <c r="H45" s="12">
        <f>(D45*G45*E45^2)/12</f>
        <v>-1728000000</v>
      </c>
      <c r="I45" s="1"/>
      <c r="J45" s="1">
        <f>H45/(1000*1000)</f>
        <v>-1728</v>
      </c>
    </row>
    <row r="46" spans="3:22" x14ac:dyDescent="0.25">
      <c r="C46" s="1" t="s">
        <v>54</v>
      </c>
      <c r="D46" s="1">
        <v>0</v>
      </c>
      <c r="E46" s="1">
        <f>R32</f>
        <v>4000</v>
      </c>
      <c r="F46" s="1">
        <v>0</v>
      </c>
      <c r="G46" s="1">
        <f t="shared" si="10"/>
        <v>0</v>
      </c>
      <c r="H46" s="1">
        <f t="shared" ref="H46:H57" si="11">(D46*G46*E46^2)/12</f>
        <v>0</v>
      </c>
      <c r="I46" s="1"/>
      <c r="J46" s="1">
        <f t="shared" ref="J46:J57" si="12">H46/(1000*1000)</f>
        <v>0</v>
      </c>
    </row>
    <row r="47" spans="3:22" x14ac:dyDescent="0.25">
      <c r="C47" s="1" t="s">
        <v>55</v>
      </c>
      <c r="D47" s="1">
        <v>-1</v>
      </c>
      <c r="E47" s="1">
        <f>R33</f>
        <v>24000</v>
      </c>
      <c r="F47" s="1">
        <f>pd</f>
        <v>0.02</v>
      </c>
      <c r="G47" s="1">
        <f t="shared" si="10"/>
        <v>45</v>
      </c>
      <c r="H47" s="12">
        <f>(D47*G47*E47^2)/12</f>
        <v>-2160000000</v>
      </c>
      <c r="I47" s="1"/>
      <c r="J47" s="1">
        <f t="shared" si="12"/>
        <v>-2160</v>
      </c>
    </row>
    <row r="48" spans="3:22" x14ac:dyDescent="0.25">
      <c r="C48" s="1" t="s">
        <v>56</v>
      </c>
      <c r="D48" s="1">
        <v>0</v>
      </c>
      <c r="E48" s="1">
        <f>R34</f>
        <v>4000</v>
      </c>
      <c r="F48" s="1">
        <f>0</f>
        <v>0</v>
      </c>
      <c r="G48" s="1">
        <f t="shared" si="10"/>
        <v>0</v>
      </c>
      <c r="H48" s="1">
        <f t="shared" si="11"/>
        <v>0</v>
      </c>
      <c r="I48" s="1"/>
      <c r="J48" s="1">
        <f t="shared" si="12"/>
        <v>0</v>
      </c>
    </row>
    <row r="49" spans="2:12" x14ac:dyDescent="0.25">
      <c r="C49" s="1" t="s">
        <v>57</v>
      </c>
      <c r="D49" s="1">
        <v>1</v>
      </c>
      <c r="E49" s="1">
        <f>R37</f>
        <v>4800</v>
      </c>
      <c r="F49" s="1">
        <f>pb</f>
        <v>4.8291082728E-2</v>
      </c>
      <c r="G49" s="1">
        <f t="shared" si="10"/>
        <v>108.654936138</v>
      </c>
      <c r="H49" s="12">
        <f>(D49*G49*E49^2)/30</f>
        <v>83446990.953983992</v>
      </c>
      <c r="I49" s="1"/>
      <c r="J49" s="1">
        <f t="shared" si="12"/>
        <v>83.446990953983999</v>
      </c>
    </row>
    <row r="50" spans="2:12" x14ac:dyDescent="0.25">
      <c r="C50" s="1" t="s">
        <v>58</v>
      </c>
      <c r="D50" s="1">
        <v>-1</v>
      </c>
      <c r="E50" s="1">
        <f>R36</f>
        <v>8000</v>
      </c>
      <c r="F50" s="1">
        <f>pj</f>
        <v>0.13</v>
      </c>
      <c r="G50" s="1">
        <f t="shared" si="10"/>
        <v>292.5</v>
      </c>
      <c r="H50" s="12">
        <f>(D50*G50*E50^2)/12</f>
        <v>-1560000000</v>
      </c>
      <c r="I50" s="1"/>
      <c r="J50" s="1">
        <f>H50/(1000*1000)</f>
        <v>-1560</v>
      </c>
    </row>
    <row r="51" spans="2:12" x14ac:dyDescent="0.25">
      <c r="C51" s="1" t="s">
        <v>59</v>
      </c>
      <c r="D51" s="1">
        <v>-1</v>
      </c>
      <c r="E51" s="1">
        <f>E49</f>
        <v>4800</v>
      </c>
      <c r="F51" s="1">
        <f>pb</f>
        <v>4.8291082728E-2</v>
      </c>
      <c r="G51" s="1">
        <f t="shared" si="10"/>
        <v>108.654936138</v>
      </c>
      <c r="H51" s="12">
        <f>(D51*G51*E51^2)/20</f>
        <v>-125170486.43097599</v>
      </c>
      <c r="I51" s="1"/>
      <c r="J51" s="1">
        <f t="shared" si="12"/>
        <v>-125.17048643097598</v>
      </c>
    </row>
    <row r="52" spans="2:12" x14ac:dyDescent="0.25">
      <c r="C52" s="1" t="s">
        <v>60</v>
      </c>
      <c r="D52" s="1">
        <v>1</v>
      </c>
      <c r="E52" s="1">
        <f>R38</f>
        <v>8000</v>
      </c>
      <c r="F52" s="1">
        <f>pb</f>
        <v>4.8291082728E-2</v>
      </c>
      <c r="G52" s="1">
        <f t="shared" si="10"/>
        <v>108.654936138</v>
      </c>
      <c r="H52" s="12">
        <f t="shared" si="11"/>
        <v>579492992.73599994</v>
      </c>
      <c r="I52" s="1"/>
      <c r="J52" s="1">
        <f>H52/(1000*1000)</f>
        <v>579.49299273599991</v>
      </c>
    </row>
    <row r="53" spans="2:12" x14ac:dyDescent="0.25">
      <c r="C53" s="1" t="s">
        <v>61</v>
      </c>
      <c r="D53" s="1">
        <v>1</v>
      </c>
      <c r="E53" s="1">
        <f>E50</f>
        <v>8000</v>
      </c>
      <c r="F53" s="1">
        <f>pj</f>
        <v>0.13</v>
      </c>
      <c r="G53" s="1">
        <f t="shared" si="10"/>
        <v>292.5</v>
      </c>
      <c r="H53" s="12">
        <f>(D53*G53*E53^2)/12</f>
        <v>1560000000</v>
      </c>
      <c r="I53" s="1"/>
      <c r="J53" s="1">
        <f t="shared" si="12"/>
        <v>1560</v>
      </c>
    </row>
    <row r="54" spans="2:12" x14ac:dyDescent="0.25">
      <c r="C54" s="1" t="s">
        <v>62</v>
      </c>
      <c r="D54" s="1">
        <v>-1</v>
      </c>
      <c r="E54" s="1">
        <f>R36</f>
        <v>8000</v>
      </c>
      <c r="F54" s="1">
        <f>pj</f>
        <v>0.13</v>
      </c>
      <c r="G54" s="1">
        <f t="shared" si="10"/>
        <v>292.5</v>
      </c>
      <c r="H54" s="12">
        <f>(D54*G54*E54^2)/12</f>
        <v>-1560000000</v>
      </c>
      <c r="I54" s="1"/>
      <c r="J54" s="1">
        <f t="shared" si="12"/>
        <v>-1560</v>
      </c>
    </row>
    <row r="55" spans="2:12" x14ac:dyDescent="0.25">
      <c r="C55" s="1" t="s">
        <v>70</v>
      </c>
      <c r="D55" s="1">
        <v>0</v>
      </c>
      <c r="E55" s="1">
        <f>R40</f>
        <v>4800</v>
      </c>
      <c r="F55" s="1">
        <v>0</v>
      </c>
      <c r="G55" s="1">
        <f t="shared" si="10"/>
        <v>0</v>
      </c>
      <c r="H55" s="1">
        <f t="shared" si="11"/>
        <v>0</v>
      </c>
      <c r="I55" s="1"/>
      <c r="J55" s="1">
        <f t="shared" si="12"/>
        <v>0</v>
      </c>
    </row>
    <row r="56" spans="2:12" x14ac:dyDescent="0.25">
      <c r="C56" s="1" t="s">
        <v>63</v>
      </c>
      <c r="D56" s="1">
        <v>-1</v>
      </c>
      <c r="E56" s="1">
        <f>E52</f>
        <v>8000</v>
      </c>
      <c r="F56" s="1">
        <f>pb</f>
        <v>4.8291082728E-2</v>
      </c>
      <c r="G56" s="1">
        <f t="shared" si="10"/>
        <v>108.654936138</v>
      </c>
      <c r="H56" s="12">
        <f t="shared" si="11"/>
        <v>-579492992.73599994</v>
      </c>
      <c r="I56" s="1"/>
      <c r="J56" s="1">
        <f t="shared" si="12"/>
        <v>-579.49299273599991</v>
      </c>
    </row>
    <row r="57" spans="2:12" x14ac:dyDescent="0.25">
      <c r="C57" s="1" t="s">
        <v>64</v>
      </c>
      <c r="D57" s="1">
        <v>1</v>
      </c>
      <c r="E57" s="1">
        <f>R39</f>
        <v>8000</v>
      </c>
      <c r="F57" s="1">
        <f>pb</f>
        <v>4.8291082728E-2</v>
      </c>
      <c r="G57" s="1">
        <f t="shared" si="10"/>
        <v>108.654936138</v>
      </c>
      <c r="H57" s="12">
        <f t="shared" si="11"/>
        <v>579492992.73599994</v>
      </c>
      <c r="I57" s="1"/>
      <c r="J57" s="1">
        <f t="shared" si="12"/>
        <v>579.49299273599991</v>
      </c>
    </row>
    <row r="60" spans="2:12" x14ac:dyDescent="0.25">
      <c r="C60" s="3" t="s">
        <v>71</v>
      </c>
      <c r="D60" s="3"/>
    </row>
    <row r="63" spans="2:12" x14ac:dyDescent="0.25">
      <c r="B63" s="1"/>
      <c r="C63" s="1" t="s">
        <v>85</v>
      </c>
      <c r="D63" s="1"/>
      <c r="E63" s="1"/>
      <c r="F63" s="1"/>
      <c r="G63" s="1"/>
      <c r="H63" s="1"/>
      <c r="I63" s="29" t="s">
        <v>84</v>
      </c>
      <c r="J63" s="1" t="s">
        <v>11</v>
      </c>
      <c r="L63" s="5"/>
    </row>
    <row r="64" spans="2:12" x14ac:dyDescent="0.25">
      <c r="B64" s="1" t="s">
        <v>78</v>
      </c>
      <c r="C64" s="12">
        <f>T31+2*T32</f>
        <v>115442206136.3439</v>
      </c>
      <c r="D64" s="12">
        <f>T32</f>
        <v>44852393549.823326</v>
      </c>
      <c r="E64" s="12">
        <v>0</v>
      </c>
      <c r="F64" s="12">
        <v>0</v>
      </c>
      <c r="G64" s="12">
        <v>0</v>
      </c>
      <c r="H64" s="12">
        <v>0</v>
      </c>
      <c r="I64" s="29" t="s">
        <v>72</v>
      </c>
      <c r="J64" s="1">
        <f>-(H45+H46)</f>
        <v>1728000000</v>
      </c>
    </row>
    <row r="65" spans="2:10" x14ac:dyDescent="0.25">
      <c r="B65" s="1" t="s">
        <v>79</v>
      </c>
      <c r="C65" s="12">
        <f>T32</f>
        <v>44852393549.823326</v>
      </c>
      <c r="D65" s="12">
        <f>2*T32+T33+2*T34</f>
        <v>205146993235.99054</v>
      </c>
      <c r="E65" s="12">
        <f>T34</f>
        <v>44852393549.823326</v>
      </c>
      <c r="F65" s="12">
        <v>0</v>
      </c>
      <c r="G65" s="12">
        <v>0</v>
      </c>
      <c r="H65" s="12">
        <v>0</v>
      </c>
      <c r="I65" s="29" t="s">
        <v>73</v>
      </c>
      <c r="J65" s="1">
        <f>-(H46+H47+H48)</f>
        <v>2160000000</v>
      </c>
    </row>
    <row r="66" spans="2:10" x14ac:dyDescent="0.25">
      <c r="B66" s="1" t="s">
        <v>80</v>
      </c>
      <c r="C66" s="12">
        <v>0</v>
      </c>
      <c r="D66" s="12">
        <f>T34</f>
        <v>44852393549.823326</v>
      </c>
      <c r="E66" s="12">
        <f>2*(T34+T35+T37)</f>
        <v>318883290569.53571</v>
      </c>
      <c r="F66" s="12">
        <f>T37</f>
        <v>37376994624.852776</v>
      </c>
      <c r="G66" s="12">
        <f>T35</f>
        <v>77212257110.091736</v>
      </c>
      <c r="H66" s="12">
        <v>0</v>
      </c>
      <c r="I66" s="29" t="s">
        <v>74</v>
      </c>
      <c r="J66" s="1">
        <f>-(H48+H49+H50)</f>
        <v>1476553009.046016</v>
      </c>
    </row>
    <row r="67" spans="2:10" x14ac:dyDescent="0.25">
      <c r="B67" s="1" t="s">
        <v>81</v>
      </c>
      <c r="C67" s="12">
        <v>0</v>
      </c>
      <c r="D67" s="12">
        <v>0</v>
      </c>
      <c r="E67" s="12">
        <f>T37</f>
        <v>37376994624.852776</v>
      </c>
      <c r="F67" s="12">
        <f>2*(T37+T38)</f>
        <v>235929237015.83459</v>
      </c>
      <c r="G67" s="12">
        <v>0</v>
      </c>
      <c r="H67" s="12">
        <f>T38</f>
        <v>80587623883.064514</v>
      </c>
      <c r="I67" s="29" t="s">
        <v>75</v>
      </c>
      <c r="J67" s="1">
        <f>-(H51+H52)</f>
        <v>-454322506.30502397</v>
      </c>
    </row>
    <row r="68" spans="2:10" x14ac:dyDescent="0.25">
      <c r="B68" s="1" t="s">
        <v>82</v>
      </c>
      <c r="C68" s="12">
        <v>0</v>
      </c>
      <c r="D68" s="12">
        <v>0</v>
      </c>
      <c r="E68" s="12">
        <f>T35</f>
        <v>77212257110.091736</v>
      </c>
      <c r="F68" s="12">
        <v>0</v>
      </c>
      <c r="G68" s="12">
        <f>2*T35+T36+2*T40</f>
        <v>306390760579.98077</v>
      </c>
      <c r="H68" s="12">
        <f>T40</f>
        <v>37376994624.852776</v>
      </c>
      <c r="I68" s="29" t="s">
        <v>76</v>
      </c>
      <c r="J68" s="1">
        <f>-(H53+H54+H55)</f>
        <v>0</v>
      </c>
    </row>
    <row r="69" spans="2:10" x14ac:dyDescent="0.25">
      <c r="B69" s="1" t="s">
        <v>83</v>
      </c>
      <c r="C69" s="12">
        <v>0</v>
      </c>
      <c r="D69" s="12">
        <v>0</v>
      </c>
      <c r="E69" s="12">
        <v>0</v>
      </c>
      <c r="F69" s="12">
        <f>T38</f>
        <v>80587623883.064514</v>
      </c>
      <c r="G69" s="12">
        <f>T40</f>
        <v>37376994624.852776</v>
      </c>
      <c r="H69" s="12">
        <f>2*T38+2*T40+T39</f>
        <v>316516860898.89911</v>
      </c>
      <c r="I69" s="29" t="s">
        <v>77</v>
      </c>
      <c r="J69" s="1">
        <f>-(H56+H55+H57)</f>
        <v>0</v>
      </c>
    </row>
    <row r="72" spans="2:10" x14ac:dyDescent="0.25">
      <c r="C72" t="s">
        <v>86</v>
      </c>
    </row>
    <row r="74" spans="2:10" x14ac:dyDescent="0.25">
      <c r="C74" s="1">
        <f t="array" ref="C74:H79">MINVERSE(C64:H69)</f>
        <v>9.4971416670147213E-12</v>
      </c>
      <c r="D74" s="1">
        <v>-2.1486252661749829E-12</v>
      </c>
      <c r="E74" s="1">
        <v>3.302940183750039E-13</v>
      </c>
      <c r="F74" s="1">
        <v>-6.1126962280102979E-14</v>
      </c>
      <c r="G74" s="1">
        <v>-8.6378970312900961E-14</v>
      </c>
      <c r="H74" s="1">
        <v>2.5763755306020064E-14</v>
      </c>
    </row>
    <row r="75" spans="2:10" x14ac:dyDescent="0.25">
      <c r="C75" s="1">
        <v>-2.1486252661749833E-12</v>
      </c>
      <c r="D75" s="1">
        <v>5.5301851530397582E-12</v>
      </c>
      <c r="E75" s="1">
        <v>-8.501189599278087E-13</v>
      </c>
      <c r="F75" s="1">
        <v>1.5733009593321832E-13</v>
      </c>
      <c r="G75" s="1">
        <v>2.2232434230360759E-13</v>
      </c>
      <c r="H75" s="1">
        <v>-6.63113942309464E-14</v>
      </c>
    </row>
    <row r="76" spans="2:10" x14ac:dyDescent="0.25">
      <c r="C76" s="1">
        <v>3.302940183750039E-13</v>
      </c>
      <c r="D76" s="1">
        <v>-8.501189599278085E-13</v>
      </c>
      <c r="E76" s="1">
        <v>3.5580012256317554E-12</v>
      </c>
      <c r="F76" s="1">
        <v>-6.5847334378554325E-13</v>
      </c>
      <c r="G76" s="1">
        <v>-9.3049363640964235E-13</v>
      </c>
      <c r="H76" s="1">
        <v>2.77532948997036E-13</v>
      </c>
    </row>
    <row r="77" spans="2:10" x14ac:dyDescent="0.25">
      <c r="C77" s="1">
        <v>-6.1126962280102979E-14</v>
      </c>
      <c r="D77" s="1">
        <v>1.5733009593321832E-13</v>
      </c>
      <c r="E77" s="1">
        <v>-6.5847334378554315E-13</v>
      </c>
      <c r="F77" s="1">
        <v>4.7706229600550009E-12</v>
      </c>
      <c r="G77" s="1">
        <v>3.1870544165506186E-13</v>
      </c>
      <c r="H77" s="1">
        <v>-1.2522726885601295E-12</v>
      </c>
    </row>
    <row r="78" spans="2:10" x14ac:dyDescent="0.25">
      <c r="C78" s="1">
        <v>-8.6378970312900961E-14</v>
      </c>
      <c r="D78" s="1">
        <v>2.2232434230360757E-13</v>
      </c>
      <c r="E78" s="1">
        <v>-9.3049363640964235E-13</v>
      </c>
      <c r="F78" s="1">
        <v>3.1870544165506186E-13</v>
      </c>
      <c r="G78" s="1">
        <v>3.5594716751265519E-12</v>
      </c>
      <c r="H78" s="1">
        <v>-5.0147744887690112E-13</v>
      </c>
    </row>
    <row r="79" spans="2:10" x14ac:dyDescent="0.25">
      <c r="C79" s="1">
        <v>2.5763755306020067E-14</v>
      </c>
      <c r="D79" s="1">
        <v>-6.63113942309464E-14</v>
      </c>
      <c r="E79" s="1">
        <v>2.77532948997036E-13</v>
      </c>
      <c r="F79" s="1">
        <v>-1.2522726885601295E-12</v>
      </c>
      <c r="G79" s="1">
        <v>-5.0147744887690112E-13</v>
      </c>
      <c r="H79" s="1">
        <v>3.5374463058810424E-12</v>
      </c>
    </row>
    <row r="81" spans="2:12" x14ac:dyDescent="0.25">
      <c r="C81" s="1" t="s">
        <v>87</v>
      </c>
      <c r="D81" s="1"/>
    </row>
    <row r="82" spans="2:12" x14ac:dyDescent="0.25">
      <c r="C82" s="6" t="s">
        <v>72</v>
      </c>
      <c r="D82" s="15">
        <f t="array" ref="D82:D87">MMULT(C74:H79,J64:J69)</f>
        <v>1.2285498207070897E-2</v>
      </c>
    </row>
    <row r="83" spans="2:12" x14ac:dyDescent="0.25">
      <c r="C83" s="6" t="s">
        <v>73</v>
      </c>
      <c r="D83" s="15">
        <v>6.9056511587854419E-3</v>
      </c>
    </row>
    <row r="84" spans="2:12" x14ac:dyDescent="0.25">
      <c r="C84" s="6" t="s">
        <v>74</v>
      </c>
      <c r="D84" s="15">
        <v>4.2872277860876197E-3</v>
      </c>
    </row>
    <row r="85" spans="2:12" x14ac:dyDescent="0.25">
      <c r="C85" s="6" t="s">
        <v>75</v>
      </c>
      <c r="D85" s="15">
        <v>-2.905466560595882E-3</v>
      </c>
    </row>
    <row r="86" spans="2:12" x14ac:dyDescent="0.25">
      <c r="C86" s="6" t="s">
        <v>76</v>
      </c>
      <c r="D86" s="15">
        <v>-1.1877605150895046E-3</v>
      </c>
    </row>
    <row r="87" spans="2:12" x14ac:dyDescent="0.25">
      <c r="C87" s="6" t="s">
        <v>77</v>
      </c>
      <c r="D87" s="15">
        <v>8.8001493502491517E-4</v>
      </c>
    </row>
    <row r="90" spans="2:12" x14ac:dyDescent="0.25">
      <c r="C90" s="8" t="s">
        <v>112</v>
      </c>
    </row>
    <row r="91" spans="2:12" ht="17.25" x14ac:dyDescent="0.25">
      <c r="C91" s="1"/>
      <c r="D91" s="1" t="s">
        <v>104</v>
      </c>
      <c r="E91" s="1" t="s">
        <v>105</v>
      </c>
      <c r="F91" s="6" t="s">
        <v>113</v>
      </c>
      <c r="G91" s="6" t="s">
        <v>109</v>
      </c>
      <c r="H91" s="13" t="s">
        <v>114</v>
      </c>
      <c r="I91" s="6" t="s">
        <v>115</v>
      </c>
      <c r="J91" s="13" t="s">
        <v>116</v>
      </c>
      <c r="K91" s="5"/>
    </row>
    <row r="92" spans="2:12" x14ac:dyDescent="0.25">
      <c r="B92">
        <v>1</v>
      </c>
      <c r="C92" s="7" t="s">
        <v>88</v>
      </c>
      <c r="D92" s="11">
        <f>T31</f>
        <v>25737419036.697247</v>
      </c>
      <c r="E92" s="12">
        <f>H45</f>
        <v>-1728000000</v>
      </c>
      <c r="F92" s="12">
        <f>D92*fa+E92</f>
        <v>-1412071501.1824129</v>
      </c>
      <c r="G92" s="1">
        <f>V31</f>
        <v>3048347.1875865883</v>
      </c>
      <c r="H92" s="1">
        <f>F92/G92</f>
        <v>-463.22528711054275</v>
      </c>
      <c r="I92" s="12">
        <f>F92+pt*w*R31^2/8</f>
        <v>1179928498.8175871</v>
      </c>
      <c r="J92" s="1">
        <f>I92/G92</f>
        <v>387.07155917884478</v>
      </c>
      <c r="L92" s="18">
        <f>F92+F93</f>
        <v>0</v>
      </c>
    </row>
    <row r="93" spans="2:12" x14ac:dyDescent="0.25">
      <c r="B93">
        <v>2</v>
      </c>
      <c r="C93" s="7" t="s">
        <v>89</v>
      </c>
      <c r="D93" s="11">
        <f>T32</f>
        <v>44852393549.823326</v>
      </c>
      <c r="E93" s="12">
        <f>H46</f>
        <v>0</v>
      </c>
      <c r="F93" s="11">
        <f>D93*(2*fa+fb)+E93</f>
        <v>1412071501.1824129</v>
      </c>
      <c r="G93" s="1">
        <f>V32</f>
        <v>1215113.3706983814</v>
      </c>
      <c r="H93" s="1">
        <f>-F93/G93</f>
        <v>-1162.0903326665152</v>
      </c>
      <c r="I93" s="1">
        <v>0</v>
      </c>
      <c r="J93" s="1">
        <f t="shared" ref="J93:J107" si="13">I93/G93</f>
        <v>0</v>
      </c>
      <c r="L93" s="2"/>
    </row>
    <row r="94" spans="2:12" x14ac:dyDescent="0.25">
      <c r="B94">
        <v>3</v>
      </c>
      <c r="C94" s="7" t="s">
        <v>90</v>
      </c>
      <c r="D94" s="11">
        <f>D93</f>
        <v>44852393549.823326</v>
      </c>
      <c r="E94" s="12">
        <f>E93</f>
        <v>0</v>
      </c>
      <c r="F94" s="11">
        <f>D94*(2*fb+fa)+E94</f>
        <v>1172444825.9819813</v>
      </c>
      <c r="G94" s="1">
        <f>G93</f>
        <v>1215113.3706983814</v>
      </c>
      <c r="H94" s="1">
        <f t="shared" ref="H94:H107" si="14">F94/G94</f>
        <v>964.88513274125478</v>
      </c>
      <c r="I94" s="1">
        <v>0</v>
      </c>
      <c r="J94" s="1">
        <f t="shared" si="13"/>
        <v>0</v>
      </c>
      <c r="L94" s="19">
        <f>F94+F95+F96</f>
        <v>0</v>
      </c>
    </row>
    <row r="95" spans="2:12" x14ac:dyDescent="0.25">
      <c r="B95">
        <v>4</v>
      </c>
      <c r="C95" s="7" t="s">
        <v>91</v>
      </c>
      <c r="D95" s="11">
        <f>T33</f>
        <v>25737419036.697247</v>
      </c>
      <c r="E95" s="12">
        <f>H47</f>
        <v>-2160000000</v>
      </c>
      <c r="F95" s="11">
        <f>D95*(fb)+E95</f>
        <v>-1981575247.6692789</v>
      </c>
      <c r="G95" s="1">
        <f>V33</f>
        <v>3048347.1875865883</v>
      </c>
      <c r="H95" s="1">
        <f t="shared" si="14"/>
        <v>-650.04906781570207</v>
      </c>
      <c r="I95" s="12">
        <f>F95+pd*w*R33^2*0.125</f>
        <v>1258424752.3307211</v>
      </c>
      <c r="J95" s="1">
        <f t="shared" si="13"/>
        <v>412.82199004603228</v>
      </c>
      <c r="L95" s="20"/>
    </row>
    <row r="96" spans="2:12" x14ac:dyDescent="0.25">
      <c r="B96">
        <v>5</v>
      </c>
      <c r="C96" s="7" t="s">
        <v>92</v>
      </c>
      <c r="D96" s="11">
        <f>T34</f>
        <v>44852393549.823326</v>
      </c>
      <c r="E96" s="1">
        <f>H48</f>
        <v>0</v>
      </c>
      <c r="F96" s="11">
        <f>D96*(2*fb+fc)+E96</f>
        <v>809130421.68729722</v>
      </c>
      <c r="G96" s="1">
        <f>V34</f>
        <v>1215113.3706983814</v>
      </c>
      <c r="H96" s="1">
        <f>-F96/G96</f>
        <v>-665.88883078642516</v>
      </c>
      <c r="I96" s="1">
        <v>0</v>
      </c>
      <c r="J96" s="1">
        <f t="shared" si="13"/>
        <v>0</v>
      </c>
      <c r="L96" s="20"/>
    </row>
    <row r="97" spans="2:12" x14ac:dyDescent="0.25">
      <c r="B97">
        <v>6</v>
      </c>
      <c r="C97" s="7" t="s">
        <v>93</v>
      </c>
      <c r="D97" s="11">
        <f>D96</f>
        <v>44852393549.823326</v>
      </c>
      <c r="E97" s="1">
        <f>E96</f>
        <v>0</v>
      </c>
      <c r="F97" s="11">
        <f>D97*(2*fc+fb)+E97</f>
        <v>685442692.59304476</v>
      </c>
      <c r="G97" s="14">
        <f>G96</f>
        <v>1215113.3706983814</v>
      </c>
      <c r="H97" s="1">
        <f t="shared" si="14"/>
        <v>564.0977287568561</v>
      </c>
      <c r="I97" s="1">
        <v>0</v>
      </c>
      <c r="J97" s="1">
        <f t="shared" si="13"/>
        <v>0</v>
      </c>
      <c r="L97" s="21">
        <f>F97+F98+F99</f>
        <v>0</v>
      </c>
    </row>
    <row r="98" spans="2:12" x14ac:dyDescent="0.25">
      <c r="B98">
        <v>7</v>
      </c>
      <c r="C98" s="7" t="s">
        <v>94</v>
      </c>
      <c r="D98" s="11">
        <f>T37</f>
        <v>37376994624.852776</v>
      </c>
      <c r="E98" s="1">
        <f>H49</f>
        <v>83446990.953983992</v>
      </c>
      <c r="F98" s="11">
        <f>D98*(2*fc+fd)+E98</f>
        <v>293788268.83222252</v>
      </c>
      <c r="G98" s="1">
        <f>V37</f>
        <v>1215113.3706983814</v>
      </c>
      <c r="H98" s="1">
        <f>-F98/G98</f>
        <v>-241.77848414536737</v>
      </c>
      <c r="I98" s="17">
        <f>F98-pb*w*R37/2*(R37*(0.5-1/3))</f>
        <v>85170791.447262496</v>
      </c>
      <c r="J98" s="1">
        <f t="shared" si="13"/>
        <v>70.092876517613277</v>
      </c>
      <c r="L98" s="22"/>
    </row>
    <row r="99" spans="2:12" x14ac:dyDescent="0.25">
      <c r="B99">
        <v>8</v>
      </c>
      <c r="C99" s="7" t="s">
        <v>95</v>
      </c>
      <c r="D99" s="11">
        <f>T35</f>
        <v>77212257110.091736</v>
      </c>
      <c r="E99" s="16">
        <f>H50</f>
        <v>-1560000000</v>
      </c>
      <c r="F99" s="11">
        <f>D99*(2*fc+fe)+E99</f>
        <v>-979230961.4252671</v>
      </c>
      <c r="G99" s="1">
        <f>V35</f>
        <v>3048347.1875865883</v>
      </c>
      <c r="H99" s="1">
        <f t="shared" si="14"/>
        <v>-321.23340983365335</v>
      </c>
      <c r="I99" s="12">
        <f>F99+0.125*pj*w*R35^2</f>
        <v>1360769038.5747328</v>
      </c>
      <c r="J99" s="1">
        <f t="shared" si="13"/>
        <v>446.39568751093253</v>
      </c>
      <c r="L99" s="22"/>
    </row>
    <row r="100" spans="2:12" x14ac:dyDescent="0.25">
      <c r="B100">
        <v>9</v>
      </c>
      <c r="C100" s="7" t="s">
        <v>96</v>
      </c>
      <c r="D100" s="11">
        <f>D98</f>
        <v>37376994624.852776</v>
      </c>
      <c r="E100" s="1">
        <f t="shared" ref="E100:E105" si="15">H51</f>
        <v>-125170486.43097599</v>
      </c>
      <c r="F100" s="11">
        <f>D100*(2*fd+fc)+E100</f>
        <v>-172617066.92349249</v>
      </c>
      <c r="G100" s="1">
        <f>G98</f>
        <v>1215113.3706983814</v>
      </c>
      <c r="H100" s="1">
        <f t="shared" si="14"/>
        <v>-142.05840466086019</v>
      </c>
      <c r="I100" s="17">
        <f>F100+pb*w*R37/2*(R37*(0.5-1/3))</f>
        <v>36000410.461467534</v>
      </c>
      <c r="J100" s="1">
        <f t="shared" si="13"/>
        <v>29.627202966893901</v>
      </c>
      <c r="L100" s="23">
        <f>F100+F101</f>
        <v>2.384185791015625E-7</v>
      </c>
    </row>
    <row r="101" spans="2:12" x14ac:dyDescent="0.25">
      <c r="B101">
        <v>10</v>
      </c>
      <c r="C101" s="7" t="s">
        <v>97</v>
      </c>
      <c r="D101" s="11">
        <f>T38</f>
        <v>80587623883.064514</v>
      </c>
      <c r="E101" s="12">
        <f t="shared" si="15"/>
        <v>579492992.73599994</v>
      </c>
      <c r="F101" s="11">
        <f>D101*(2*fd+ff)+E101</f>
        <v>172617066.92349273</v>
      </c>
      <c r="G101" s="1">
        <f>V38</f>
        <v>3084431.9008264467</v>
      </c>
      <c r="H101" s="1">
        <f>-F101/G101</f>
        <v>-55.963974071608291</v>
      </c>
      <c r="I101" s="12">
        <f>(F101-pb*w*R38^2*0.125)</f>
        <v>-696622422.18050718</v>
      </c>
      <c r="J101" s="1">
        <f>-I101/G101</f>
        <v>225.85112739686465</v>
      </c>
      <c r="L101" s="24"/>
    </row>
    <row r="102" spans="2:12" x14ac:dyDescent="0.25">
      <c r="B102">
        <v>11</v>
      </c>
      <c r="C102" s="7" t="s">
        <v>98</v>
      </c>
      <c r="D102" s="11">
        <f>D99</f>
        <v>77212257110.091736</v>
      </c>
      <c r="E102" s="1">
        <f t="shared" si="15"/>
        <v>1560000000</v>
      </c>
      <c r="F102" s="11">
        <f>D102*(2*fe+fc)+E102</f>
        <v>1754491165.2303181</v>
      </c>
      <c r="G102" s="1">
        <f>G99</f>
        <v>3048347.1875865883</v>
      </c>
      <c r="H102" s="1">
        <f>-F102/G102</f>
        <v>-575.55490148068372</v>
      </c>
      <c r="I102" s="12">
        <f>F102-0.125*pj*w*R35^2</f>
        <v>-585508834.76968193</v>
      </c>
      <c r="J102" s="1">
        <f t="shared" si="13"/>
        <v>-192.07419586390225</v>
      </c>
      <c r="L102" s="25">
        <f>F102+F103+F104</f>
        <v>83446990.953983933</v>
      </c>
    </row>
    <row r="103" spans="2:12" x14ac:dyDescent="0.25">
      <c r="B103">
        <v>12</v>
      </c>
      <c r="C103" s="7" t="s">
        <v>99</v>
      </c>
      <c r="D103" s="11">
        <f>T36</f>
        <v>77212257110.091736</v>
      </c>
      <c r="E103" s="12">
        <f t="shared" si="15"/>
        <v>-1560000000</v>
      </c>
      <c r="F103" s="11">
        <f>D103*(fe)+E103</f>
        <v>-1623928902.7046988</v>
      </c>
      <c r="G103" s="1">
        <f>V36</f>
        <v>3048347.1875865883</v>
      </c>
      <c r="H103" s="1">
        <f t="shared" si="14"/>
        <v>-532.72439219444095</v>
      </c>
      <c r="I103" s="12">
        <f>F103+0.125*pj*w*R36^2</f>
        <v>716071097.2953012</v>
      </c>
      <c r="J103" s="12">
        <f>I103/G103</f>
        <v>234.90470515014496</v>
      </c>
      <c r="L103" s="26"/>
    </row>
    <row r="104" spans="2:12" x14ac:dyDescent="0.25">
      <c r="B104">
        <v>13</v>
      </c>
      <c r="C104" s="7" t="s">
        <v>100</v>
      </c>
      <c r="D104" s="11">
        <f>T40</f>
        <v>37376994624.852776</v>
      </c>
      <c r="E104" s="1">
        <f t="shared" si="15"/>
        <v>0</v>
      </c>
      <c r="F104" s="11">
        <f>D104*(2*fe+ff)+E104</f>
        <v>-47115271.571635328</v>
      </c>
      <c r="G104" s="1">
        <f>V40</f>
        <v>1215113.3706983814</v>
      </c>
      <c r="H104" s="1">
        <f t="shared" si="14"/>
        <v>-38.774383286191657</v>
      </c>
      <c r="I104" s="1">
        <v>0</v>
      </c>
      <c r="J104" s="1">
        <f t="shared" si="13"/>
        <v>0</v>
      </c>
      <c r="L104" s="26"/>
    </row>
    <row r="105" spans="2:12" x14ac:dyDescent="0.25">
      <c r="B105">
        <v>14</v>
      </c>
      <c r="C105" s="7" t="s">
        <v>101</v>
      </c>
      <c r="D105" s="11">
        <f>D101</f>
        <v>80587623883.064514</v>
      </c>
      <c r="E105" s="12">
        <f t="shared" si="15"/>
        <v>-579492992.73599994</v>
      </c>
      <c r="F105" s="11">
        <f>D105*(2*ff+fd)+E105</f>
        <v>-735136336.65034485</v>
      </c>
      <c r="G105" s="1">
        <f>G101</f>
        <v>3084431.9008264467</v>
      </c>
      <c r="H105" s="1">
        <f>F105/G105</f>
        <v>-238.33767782435768</v>
      </c>
      <c r="I105" s="12">
        <f>F105+pb*R38^2*0.125</f>
        <v>-734750007.98852086</v>
      </c>
      <c r="J105" s="12">
        <f>I105/G105</f>
        <v>-238.21242666814948</v>
      </c>
      <c r="L105" s="27">
        <f>F105+F106+F107</f>
        <v>-125170486.43097591</v>
      </c>
    </row>
    <row r="106" spans="2:12" x14ac:dyDescent="0.25">
      <c r="B106">
        <v>15</v>
      </c>
      <c r="C106" s="7" t="s">
        <v>102</v>
      </c>
      <c r="D106" s="11">
        <f>D104</f>
        <v>37376994624.852776</v>
      </c>
      <c r="E106" s="1">
        <f>E104</f>
        <v>0</v>
      </c>
      <c r="F106" s="11">
        <f>D106*(2*ff+fe)+E106</f>
        <v>-1390221.8445701192</v>
      </c>
      <c r="G106" s="1">
        <f>G104</f>
        <v>1215113.3706983814</v>
      </c>
      <c r="H106" s="1">
        <f>-F106/G106</f>
        <v>1.1441087540425094</v>
      </c>
      <c r="I106" s="1">
        <v>0</v>
      </c>
      <c r="J106" s="1">
        <f t="shared" si="13"/>
        <v>0</v>
      </c>
      <c r="L106" s="28"/>
    </row>
    <row r="107" spans="2:12" x14ac:dyDescent="0.25">
      <c r="B107">
        <v>16</v>
      </c>
      <c r="C107" s="7" t="s">
        <v>103</v>
      </c>
      <c r="D107" s="11">
        <f>T39</f>
        <v>80587623883.064514</v>
      </c>
      <c r="E107" s="12">
        <f>H57</f>
        <v>579492992.73599994</v>
      </c>
      <c r="F107" s="11">
        <f>D107*(ff)+E107</f>
        <v>611356072.06393909</v>
      </c>
      <c r="G107" s="1">
        <f>V39</f>
        <v>3084431.9008264467</v>
      </c>
      <c r="H107" s="1">
        <f t="shared" si="14"/>
        <v>198.20702538452269</v>
      </c>
      <c r="I107" s="1">
        <f>F107-pb*w*R39^2*0.125</f>
        <v>-257883417.04006088</v>
      </c>
      <c r="J107" s="1">
        <f t="shared" si="13"/>
        <v>-83.608076083950266</v>
      </c>
      <c r="L107" s="28"/>
    </row>
    <row r="112" spans="2:12" x14ac:dyDescent="0.25">
      <c r="B112" t="s">
        <v>118</v>
      </c>
    </row>
    <row r="114" spans="3:5" x14ac:dyDescent="0.25">
      <c r="C114" t="s">
        <v>119</v>
      </c>
      <c r="D114" t="s">
        <v>120</v>
      </c>
      <c r="E114" t="s">
        <v>121</v>
      </c>
    </row>
    <row r="115" spans="3:5" x14ac:dyDescent="0.25">
      <c r="E115" t="s">
        <v>131</v>
      </c>
    </row>
    <row r="116" spans="3:5" x14ac:dyDescent="0.25">
      <c r="C116" t="s">
        <v>123</v>
      </c>
      <c r="D116" t="s">
        <v>120</v>
      </c>
      <c r="E116" t="s">
        <v>121</v>
      </c>
    </row>
    <row r="117" spans="3:5" x14ac:dyDescent="0.25">
      <c r="E117" t="s">
        <v>122</v>
      </c>
    </row>
    <row r="118" spans="3:5" x14ac:dyDescent="0.25">
      <c r="C118" t="s">
        <v>124</v>
      </c>
      <c r="D118" t="s">
        <v>120</v>
      </c>
      <c r="E118" t="s">
        <v>121</v>
      </c>
    </row>
    <row r="119" spans="3:5" x14ac:dyDescent="0.25">
      <c r="E119" t="s">
        <v>131</v>
      </c>
    </row>
    <row r="120" spans="3:5" x14ac:dyDescent="0.25">
      <c r="C120" t="s">
        <v>125</v>
      </c>
      <c r="D120" t="s">
        <v>120</v>
      </c>
      <c r="E120" t="s">
        <v>121</v>
      </c>
    </row>
    <row r="121" spans="3:5" x14ac:dyDescent="0.25">
      <c r="E121" t="s">
        <v>122</v>
      </c>
    </row>
    <row r="122" spans="3:5" x14ac:dyDescent="0.25">
      <c r="C122" t="s">
        <v>126</v>
      </c>
      <c r="D122" t="s">
        <v>120</v>
      </c>
      <c r="E122" t="s">
        <v>121</v>
      </c>
    </row>
    <row r="123" spans="3:5" x14ac:dyDescent="0.25">
      <c r="E123" t="s">
        <v>122</v>
      </c>
    </row>
    <row r="124" spans="3:5" x14ac:dyDescent="0.25">
      <c r="C124" t="s">
        <v>127</v>
      </c>
      <c r="D124" t="s">
        <v>120</v>
      </c>
      <c r="E124" t="s">
        <v>121</v>
      </c>
    </row>
    <row r="125" spans="3:5" x14ac:dyDescent="0.25">
      <c r="E125" t="s">
        <v>122</v>
      </c>
    </row>
    <row r="126" spans="3:5" x14ac:dyDescent="0.25">
      <c r="C126" t="s">
        <v>133</v>
      </c>
      <c r="D126" t="s">
        <v>120</v>
      </c>
      <c r="E126" t="s">
        <v>121</v>
      </c>
    </row>
    <row r="127" spans="3:5" x14ac:dyDescent="0.25">
      <c r="E127" t="s">
        <v>122</v>
      </c>
    </row>
    <row r="128" spans="3:5" x14ac:dyDescent="0.25">
      <c r="C128" t="s">
        <v>128</v>
      </c>
      <c r="D128" t="s">
        <v>120</v>
      </c>
      <c r="E128" t="s">
        <v>121</v>
      </c>
    </row>
    <row r="129" spans="3:5" x14ac:dyDescent="0.25">
      <c r="E129" t="s">
        <v>131</v>
      </c>
    </row>
    <row r="130" spans="3:5" x14ac:dyDescent="0.25">
      <c r="C130" t="s">
        <v>129</v>
      </c>
      <c r="D130" t="s">
        <v>120</v>
      </c>
      <c r="E130" t="s">
        <v>121</v>
      </c>
    </row>
    <row r="131" spans="3:5" x14ac:dyDescent="0.25">
      <c r="E131" t="s">
        <v>122</v>
      </c>
    </row>
    <row r="132" spans="3:5" x14ac:dyDescent="0.25">
      <c r="C132" t="s">
        <v>130</v>
      </c>
      <c r="D132" t="s">
        <v>120</v>
      </c>
      <c r="E132" t="s">
        <v>121</v>
      </c>
    </row>
    <row r="133" spans="3:5" x14ac:dyDescent="0.25">
      <c r="E133" t="s">
        <v>132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I33"/>
  <sheetViews>
    <sheetView topLeftCell="B1" zoomScaleNormal="100" workbookViewId="0">
      <selection activeCell="J15" sqref="J15"/>
    </sheetView>
  </sheetViews>
  <sheetFormatPr defaultRowHeight="15" x14ac:dyDescent="0.25"/>
  <cols>
    <col min="3" max="3" width="13" customWidth="1"/>
    <col min="4" max="4" width="8.7109375" customWidth="1"/>
    <col min="5" max="5" width="9.42578125" customWidth="1"/>
    <col min="6" max="6" width="7.5703125" customWidth="1"/>
    <col min="7" max="7" width="10.28515625" customWidth="1"/>
    <col min="8" max="8" width="13" customWidth="1"/>
    <col min="10" max="10" width="11.140625" customWidth="1"/>
    <col min="11" max="11" width="10.5703125" customWidth="1"/>
    <col min="13" max="13" width="11.85546875" customWidth="1"/>
    <col min="17" max="19" width="7.5703125" customWidth="1"/>
    <col min="20" max="20" width="8.140625" customWidth="1"/>
    <col min="21" max="21" width="7" customWidth="1"/>
    <col min="22" max="22" width="7.7109375" customWidth="1"/>
    <col min="23" max="23" width="8.140625" customWidth="1"/>
    <col min="24" max="24" width="7" customWidth="1"/>
    <col min="25" max="25" width="7.7109375" customWidth="1"/>
    <col min="26" max="26" width="8.140625" customWidth="1"/>
    <col min="27" max="27" width="7" customWidth="1"/>
    <col min="28" max="28" width="7.7109375" customWidth="1"/>
    <col min="29" max="29" width="8.140625" customWidth="1"/>
    <col min="30" max="30" width="7" customWidth="1"/>
    <col min="31" max="31" width="7.7109375" customWidth="1"/>
    <col min="37" max="37" width="6.85546875" customWidth="1"/>
    <col min="38" max="38" width="3.140625" customWidth="1"/>
    <col min="39" max="39" width="6" customWidth="1"/>
    <col min="40" max="40" width="6.85546875" customWidth="1"/>
    <col min="41" max="41" width="3.140625" customWidth="1"/>
    <col min="42" max="42" width="6" customWidth="1"/>
    <col min="43" max="43" width="6.85546875" customWidth="1"/>
    <col min="44" max="44" width="3.140625" customWidth="1"/>
    <col min="45" max="45" width="6" customWidth="1"/>
    <col min="46" max="46" width="6.85546875" customWidth="1"/>
    <col min="47" max="47" width="3.140625" customWidth="1"/>
    <col min="48" max="48" width="6" customWidth="1"/>
    <col min="49" max="49" width="6.85546875" customWidth="1"/>
    <col min="50" max="50" width="3.140625" customWidth="1"/>
    <col min="51" max="51" width="6" customWidth="1"/>
    <col min="52" max="52" width="6.85546875" customWidth="1"/>
    <col min="53" max="53" width="3.140625" customWidth="1"/>
    <col min="54" max="54" width="6" customWidth="1"/>
    <col min="55" max="55" width="6.85546875" customWidth="1"/>
    <col min="56" max="56" width="3.140625" customWidth="1"/>
    <col min="57" max="57" width="6" customWidth="1"/>
    <col min="58" max="58" width="6.85546875" customWidth="1"/>
    <col min="59" max="59" width="3.140625" customWidth="1"/>
    <col min="60" max="60" width="6" customWidth="1"/>
    <col min="61" max="61" width="6.85546875" customWidth="1"/>
    <col min="62" max="62" width="3.140625" customWidth="1"/>
    <col min="63" max="63" width="6" customWidth="1"/>
    <col min="64" max="64" width="6.85546875" customWidth="1"/>
    <col min="65" max="65" width="3.140625" customWidth="1"/>
    <col min="66" max="66" width="6" customWidth="1"/>
    <col min="67" max="67" width="6.85546875" customWidth="1"/>
    <col min="68" max="68" width="3.140625" customWidth="1"/>
    <col min="69" max="69" width="6" customWidth="1"/>
    <col min="70" max="70" width="6.85546875" customWidth="1"/>
    <col min="71" max="71" width="3.140625" customWidth="1"/>
    <col min="72" max="72" width="6" customWidth="1"/>
    <col min="73" max="73" width="6.85546875" customWidth="1"/>
    <col min="74" max="74" width="3.140625" customWidth="1"/>
    <col min="75" max="75" width="6" customWidth="1"/>
    <col min="76" max="76" width="7.5703125" customWidth="1"/>
    <col min="77" max="77" width="3.140625" customWidth="1"/>
    <col min="78" max="78" width="6" customWidth="1"/>
    <col min="79" max="79" width="6.85546875" customWidth="1"/>
    <col min="80" max="80" width="3.140625" customWidth="1"/>
    <col min="81" max="81" width="7.140625" customWidth="1"/>
    <col min="82" max="82" width="7.5703125" customWidth="1"/>
    <col min="83" max="83" width="4.5703125" customWidth="1"/>
    <col min="84" max="84" width="8" customWidth="1"/>
    <col min="85" max="85" width="7.5703125" customWidth="1"/>
    <col min="86" max="86" width="4.5703125" customWidth="1"/>
    <col min="87" max="87" width="8" customWidth="1"/>
  </cols>
  <sheetData>
    <row r="1" spans="1:87" ht="15.75" thickBot="1" x14ac:dyDescent="0.3">
      <c r="A1" s="68">
        <v>1</v>
      </c>
      <c r="B1" s="68">
        <f>A1+1</f>
        <v>2</v>
      </c>
      <c r="C1" s="68">
        <f t="shared" ref="C1:BL1" si="0">B1+1</f>
        <v>3</v>
      </c>
      <c r="D1" s="68">
        <f t="shared" si="0"/>
        <v>4</v>
      </c>
      <c r="E1" s="68">
        <f t="shared" si="0"/>
        <v>5</v>
      </c>
      <c r="F1" s="68">
        <f t="shared" si="0"/>
        <v>6</v>
      </c>
      <c r="G1" s="68">
        <f t="shared" si="0"/>
        <v>7</v>
      </c>
      <c r="H1" s="68">
        <f t="shared" si="0"/>
        <v>8</v>
      </c>
      <c r="I1" s="68">
        <f t="shared" si="0"/>
        <v>9</v>
      </c>
      <c r="J1" s="68">
        <f t="shared" si="0"/>
        <v>10</v>
      </c>
      <c r="K1" s="68">
        <f t="shared" si="0"/>
        <v>11</v>
      </c>
      <c r="L1" s="68">
        <f t="shared" si="0"/>
        <v>12</v>
      </c>
      <c r="M1" s="68">
        <f t="shared" si="0"/>
        <v>13</v>
      </c>
      <c r="N1" s="68">
        <f t="shared" si="0"/>
        <v>14</v>
      </c>
      <c r="O1" s="68">
        <f t="shared" si="0"/>
        <v>15</v>
      </c>
      <c r="P1" s="68">
        <f t="shared" si="0"/>
        <v>16</v>
      </c>
      <c r="Q1" s="68">
        <f t="shared" si="0"/>
        <v>17</v>
      </c>
      <c r="R1" s="68">
        <f t="shared" si="0"/>
        <v>18</v>
      </c>
      <c r="S1" s="68">
        <f t="shared" si="0"/>
        <v>19</v>
      </c>
      <c r="T1" s="68">
        <f t="shared" si="0"/>
        <v>20</v>
      </c>
      <c r="U1" s="68">
        <f t="shared" si="0"/>
        <v>21</v>
      </c>
      <c r="V1" s="68">
        <f t="shared" si="0"/>
        <v>22</v>
      </c>
      <c r="W1" s="68">
        <f t="shared" si="0"/>
        <v>23</v>
      </c>
      <c r="X1" s="68">
        <f t="shared" si="0"/>
        <v>24</v>
      </c>
      <c r="Y1" s="68">
        <f t="shared" si="0"/>
        <v>25</v>
      </c>
      <c r="Z1" s="68">
        <f t="shared" si="0"/>
        <v>26</v>
      </c>
      <c r="AA1" s="68">
        <f t="shared" si="0"/>
        <v>27</v>
      </c>
      <c r="AB1" s="68">
        <f t="shared" si="0"/>
        <v>28</v>
      </c>
      <c r="AC1" s="68">
        <f t="shared" si="0"/>
        <v>29</v>
      </c>
      <c r="AD1" s="68">
        <f t="shared" si="0"/>
        <v>30</v>
      </c>
      <c r="AE1" s="68">
        <f t="shared" si="0"/>
        <v>31</v>
      </c>
      <c r="AF1" s="68">
        <f t="shared" si="0"/>
        <v>32</v>
      </c>
      <c r="AG1" s="68">
        <f t="shared" si="0"/>
        <v>33</v>
      </c>
      <c r="AH1" s="68">
        <f t="shared" si="0"/>
        <v>34</v>
      </c>
      <c r="AI1" s="68">
        <f t="shared" si="0"/>
        <v>35</v>
      </c>
      <c r="AJ1" s="68">
        <f t="shared" si="0"/>
        <v>36</v>
      </c>
      <c r="AK1" s="68">
        <f t="shared" si="0"/>
        <v>37</v>
      </c>
      <c r="AL1" s="68">
        <f t="shared" si="0"/>
        <v>38</v>
      </c>
      <c r="AM1" s="68">
        <f t="shared" si="0"/>
        <v>39</v>
      </c>
      <c r="AN1" s="68">
        <f t="shared" si="0"/>
        <v>40</v>
      </c>
      <c r="AO1" s="68">
        <f t="shared" si="0"/>
        <v>41</v>
      </c>
      <c r="AP1" s="68">
        <f t="shared" si="0"/>
        <v>42</v>
      </c>
      <c r="AQ1" s="68">
        <f t="shared" si="0"/>
        <v>43</v>
      </c>
      <c r="AR1" s="68">
        <f t="shared" si="0"/>
        <v>44</v>
      </c>
      <c r="AS1" s="68">
        <f t="shared" si="0"/>
        <v>45</v>
      </c>
      <c r="AT1" s="68">
        <f t="shared" si="0"/>
        <v>46</v>
      </c>
      <c r="AU1" s="68">
        <f t="shared" si="0"/>
        <v>47</v>
      </c>
      <c r="AV1" s="68">
        <f t="shared" si="0"/>
        <v>48</v>
      </c>
      <c r="AW1" s="68">
        <f t="shared" si="0"/>
        <v>49</v>
      </c>
      <c r="AX1" s="68">
        <f t="shared" si="0"/>
        <v>50</v>
      </c>
      <c r="AY1" s="68">
        <f t="shared" si="0"/>
        <v>51</v>
      </c>
      <c r="AZ1" s="68">
        <f t="shared" si="0"/>
        <v>52</v>
      </c>
      <c r="BA1" s="68">
        <f t="shared" si="0"/>
        <v>53</v>
      </c>
      <c r="BB1" s="68">
        <f t="shared" si="0"/>
        <v>54</v>
      </c>
      <c r="BC1" s="68">
        <f t="shared" si="0"/>
        <v>55</v>
      </c>
      <c r="BD1" s="68">
        <f t="shared" si="0"/>
        <v>56</v>
      </c>
      <c r="BE1" s="68">
        <f t="shared" si="0"/>
        <v>57</v>
      </c>
      <c r="BF1" s="68">
        <f t="shared" si="0"/>
        <v>58</v>
      </c>
      <c r="BG1" s="68">
        <f t="shared" si="0"/>
        <v>59</v>
      </c>
      <c r="BH1" s="68">
        <f t="shared" si="0"/>
        <v>60</v>
      </c>
      <c r="BI1" s="68">
        <f t="shared" si="0"/>
        <v>61</v>
      </c>
      <c r="BJ1" s="68">
        <f t="shared" si="0"/>
        <v>62</v>
      </c>
      <c r="BK1" s="68">
        <f t="shared" si="0"/>
        <v>63</v>
      </c>
      <c r="BL1" s="68">
        <f t="shared" si="0"/>
        <v>64</v>
      </c>
      <c r="BM1" s="68">
        <f t="shared" ref="BM1:CI1" si="1">BL1+1</f>
        <v>65</v>
      </c>
      <c r="BN1" s="68">
        <f t="shared" si="1"/>
        <v>66</v>
      </c>
      <c r="BO1" s="68">
        <f t="shared" si="1"/>
        <v>67</v>
      </c>
      <c r="BP1" s="68">
        <f t="shared" si="1"/>
        <v>68</v>
      </c>
      <c r="BQ1" s="68">
        <f t="shared" si="1"/>
        <v>69</v>
      </c>
      <c r="BR1" s="68">
        <f t="shared" si="1"/>
        <v>70</v>
      </c>
      <c r="BS1" s="68">
        <f t="shared" si="1"/>
        <v>71</v>
      </c>
      <c r="BT1" s="68">
        <f t="shared" si="1"/>
        <v>72</v>
      </c>
      <c r="BU1" s="68">
        <f t="shared" si="1"/>
        <v>73</v>
      </c>
      <c r="BV1" s="68">
        <f t="shared" si="1"/>
        <v>74</v>
      </c>
      <c r="BW1" s="68">
        <f t="shared" si="1"/>
        <v>75</v>
      </c>
      <c r="BX1" s="68">
        <f t="shared" si="1"/>
        <v>76</v>
      </c>
      <c r="BY1" s="68">
        <f t="shared" si="1"/>
        <v>77</v>
      </c>
      <c r="BZ1" s="68">
        <f t="shared" si="1"/>
        <v>78</v>
      </c>
      <c r="CA1" s="68">
        <f t="shared" si="1"/>
        <v>79</v>
      </c>
      <c r="CB1" s="68">
        <f t="shared" si="1"/>
        <v>80</v>
      </c>
      <c r="CC1" s="68">
        <f t="shared" si="1"/>
        <v>81</v>
      </c>
      <c r="CD1" s="68">
        <f t="shared" si="1"/>
        <v>82</v>
      </c>
      <c r="CE1" s="68">
        <f t="shared" si="1"/>
        <v>83</v>
      </c>
      <c r="CF1" s="68">
        <f t="shared" si="1"/>
        <v>84</v>
      </c>
      <c r="CG1" s="68">
        <f t="shared" si="1"/>
        <v>85</v>
      </c>
      <c r="CH1" s="68">
        <f t="shared" si="1"/>
        <v>86</v>
      </c>
      <c r="CI1" s="68">
        <f t="shared" si="1"/>
        <v>87</v>
      </c>
    </row>
    <row r="2" spans="1:87" ht="15.75" thickBot="1" x14ac:dyDescent="0.3">
      <c r="A2">
        <f>A1+1</f>
        <v>2</v>
      </c>
      <c r="AK2" s="69">
        <v>9</v>
      </c>
      <c r="AL2" s="49">
        <v>3</v>
      </c>
      <c r="AM2" s="49">
        <v>10</v>
      </c>
      <c r="AN2" s="49">
        <v>9</v>
      </c>
      <c r="AO2" s="49">
        <v>1</v>
      </c>
      <c r="AP2" s="70">
        <v>11</v>
      </c>
      <c r="AQ2" s="69">
        <v>12</v>
      </c>
      <c r="AR2" s="49">
        <v>1</v>
      </c>
      <c r="AS2" s="70">
        <v>13</v>
      </c>
      <c r="AT2" s="69">
        <v>14</v>
      </c>
      <c r="AU2" s="49">
        <v>3</v>
      </c>
      <c r="AV2" s="49">
        <v>15</v>
      </c>
      <c r="AW2" s="49">
        <v>14</v>
      </c>
      <c r="AX2" s="49">
        <v>1</v>
      </c>
      <c r="AY2" s="70">
        <v>16</v>
      </c>
      <c r="AZ2" s="69">
        <f>AT2+3</f>
        <v>17</v>
      </c>
      <c r="BA2" s="49">
        <v>3</v>
      </c>
      <c r="BB2" s="49">
        <f>AZ2+1</f>
        <v>18</v>
      </c>
      <c r="BC2" s="49">
        <f>AZ2</f>
        <v>17</v>
      </c>
      <c r="BD2" s="49">
        <v>1</v>
      </c>
      <c r="BE2" s="70">
        <f>BC2+2</f>
        <v>19</v>
      </c>
      <c r="BF2" s="69">
        <v>4</v>
      </c>
      <c r="BG2" s="49">
        <v>3</v>
      </c>
      <c r="BH2" s="49">
        <v>21</v>
      </c>
      <c r="BI2" s="49">
        <f>BF2</f>
        <v>4</v>
      </c>
      <c r="BJ2" s="49">
        <v>1</v>
      </c>
      <c r="BK2" s="70">
        <f>BH2+1</f>
        <v>22</v>
      </c>
      <c r="BL2" s="69">
        <f>BF2+1</f>
        <v>5</v>
      </c>
      <c r="BM2" s="49">
        <v>3</v>
      </c>
      <c r="BN2" s="49">
        <f>BH2+3</f>
        <v>24</v>
      </c>
      <c r="BO2" s="49">
        <f>BL2</f>
        <v>5</v>
      </c>
      <c r="BP2" s="49">
        <v>1</v>
      </c>
      <c r="BQ2" s="70">
        <f>BN2+1</f>
        <v>25</v>
      </c>
      <c r="BR2" s="69">
        <f>BL2+1</f>
        <v>6</v>
      </c>
      <c r="BS2" s="49">
        <v>3</v>
      </c>
      <c r="BT2" s="49">
        <f>BN2+3</f>
        <v>27</v>
      </c>
      <c r="BU2" s="49">
        <f>BR2</f>
        <v>6</v>
      </c>
      <c r="BV2" s="49">
        <v>1</v>
      </c>
      <c r="BW2" s="70">
        <f>BT2+1</f>
        <v>28</v>
      </c>
      <c r="BX2" s="69">
        <f>BR2+1</f>
        <v>7</v>
      </c>
      <c r="BY2" s="49">
        <v>3</v>
      </c>
      <c r="BZ2" s="49">
        <f>BT2+3</f>
        <v>30</v>
      </c>
      <c r="CA2" s="49">
        <f>BX2</f>
        <v>7</v>
      </c>
      <c r="CB2" s="49">
        <v>1</v>
      </c>
      <c r="CC2" s="70">
        <f>BZ2+1</f>
        <v>31</v>
      </c>
      <c r="CD2" s="85">
        <v>33</v>
      </c>
      <c r="CE2" s="49">
        <v>1</v>
      </c>
      <c r="CF2" s="70">
        <v>35</v>
      </c>
      <c r="CG2" s="69">
        <f>CD2+1</f>
        <v>34</v>
      </c>
      <c r="CH2" s="49">
        <v>1</v>
      </c>
      <c r="CI2" s="70">
        <f>CF2</f>
        <v>35</v>
      </c>
    </row>
    <row r="3" spans="1:87" ht="15.75" thickBot="1" x14ac:dyDescent="0.3">
      <c r="A3">
        <f t="shared" ref="A3:A33" si="2">A2+1</f>
        <v>3</v>
      </c>
      <c r="C3" s="52"/>
      <c r="D3" s="53" t="s">
        <v>134</v>
      </c>
      <c r="E3" s="53" t="s">
        <v>135</v>
      </c>
      <c r="F3" s="53" t="s">
        <v>136</v>
      </c>
      <c r="G3" s="54" t="s">
        <v>137</v>
      </c>
      <c r="H3" s="60" t="s">
        <v>141</v>
      </c>
      <c r="I3" s="46" t="s">
        <v>138</v>
      </c>
      <c r="J3" s="80" t="s">
        <v>146</v>
      </c>
      <c r="K3" s="81" t="s">
        <v>147</v>
      </c>
      <c r="L3" s="67" t="s">
        <v>144</v>
      </c>
      <c r="M3" s="56" t="s">
        <v>147</v>
      </c>
      <c r="N3" s="67" t="s">
        <v>145</v>
      </c>
      <c r="O3" s="55" t="s">
        <v>146</v>
      </c>
      <c r="P3" s="56" t="s">
        <v>147</v>
      </c>
      <c r="Q3" s="67" t="s">
        <v>148</v>
      </c>
      <c r="R3" s="55" t="s">
        <v>146</v>
      </c>
      <c r="S3" s="56" t="s">
        <v>147</v>
      </c>
      <c r="T3" s="67" t="s">
        <v>134</v>
      </c>
      <c r="U3" s="55" t="s">
        <v>146</v>
      </c>
      <c r="V3" s="56" t="s">
        <v>147</v>
      </c>
      <c r="W3" s="67" t="s">
        <v>135</v>
      </c>
      <c r="X3" s="55" t="s">
        <v>146</v>
      </c>
      <c r="Y3" s="56" t="s">
        <v>147</v>
      </c>
      <c r="Z3" s="67" t="s">
        <v>136</v>
      </c>
      <c r="AA3" s="55" t="s">
        <v>146</v>
      </c>
      <c r="AB3" s="56" t="s">
        <v>147</v>
      </c>
      <c r="AC3" s="67" t="s">
        <v>137</v>
      </c>
      <c r="AD3" s="55" t="s">
        <v>146</v>
      </c>
      <c r="AE3" s="56" t="s">
        <v>147</v>
      </c>
      <c r="AG3" s="52" t="s">
        <v>151</v>
      </c>
      <c r="AH3" s="53" t="s">
        <v>152</v>
      </c>
      <c r="AI3" s="76" t="s">
        <v>143</v>
      </c>
      <c r="AJ3" s="4"/>
      <c r="AK3" s="98" t="str">
        <f ca="1">_xlfn.CONCAT(INDIRECT(ADDRESS($A$3,AK2))," ",INDIRECT(ADDRESS($A$3,AM2)))</f>
        <v>BF/TF Min</v>
      </c>
      <c r="AL3" s="99"/>
      <c r="AM3" s="99"/>
      <c r="AN3" s="99" t="str">
        <f ca="1">_xlfn.CONCAT(INDIRECT(ADDRESS($A$3,AN2))," ",INDIRECT(ADDRESS($A$3,AP2)))</f>
        <v>BF/TF Max</v>
      </c>
      <c r="AO3" s="99"/>
      <c r="AP3" s="100"/>
      <c r="AQ3" s="98" t="str">
        <f ca="1">_xlfn.CONCAT(INDIRECT(ADDRESS($A$3,AQ2))," ",INDIRECT(ADDRESS($A$3,AS2)))</f>
        <v>HW/TW Max</v>
      </c>
      <c r="AR3" s="99"/>
      <c r="AS3" s="100"/>
      <c r="AT3" s="98" t="str">
        <f ca="1">_xlfn.CONCAT(INDIRECT(ADDRESS($A$3,AT2))," ",INDIRECT(ADDRESS($A$3,AV2)))</f>
        <v>BF/HW Min</v>
      </c>
      <c r="AU3" s="99"/>
      <c r="AV3" s="99"/>
      <c r="AW3" s="99" t="str">
        <f ca="1">_xlfn.CONCAT(INDIRECT(ADDRESS($A$3,AW2))," ",INDIRECT(ADDRESS($A$3,AY2)))</f>
        <v>BF/HW Max</v>
      </c>
      <c r="AX3" s="99"/>
      <c r="AY3" s="100"/>
      <c r="AZ3" s="98" t="str">
        <f ca="1">_xlfn.CONCAT(INDIRECT(ADDRESS($A$3,AZ2))," ",INDIRECT(ADDRESS($A$3,BB2)))</f>
        <v>TF/TW Min</v>
      </c>
      <c r="BA3" s="99"/>
      <c r="BB3" s="99"/>
      <c r="BC3" s="99" t="str">
        <f ca="1">_xlfn.CONCAT(INDIRECT(ADDRESS($A$3,BC2))," ",INDIRECT(ADDRESS($A$3,BE2)))</f>
        <v>TF/TW Max</v>
      </c>
      <c r="BD3" s="99"/>
      <c r="BE3" s="100"/>
      <c r="BF3" s="98" t="str">
        <f ca="1">_xlfn.CONCAT(INDIRECT(ADDRESS($A$3,BF2))," ",INDIRECT(ADDRESS($A$3,BH2)))</f>
        <v>HW Min</v>
      </c>
      <c r="BG3" s="99"/>
      <c r="BH3" s="99"/>
      <c r="BI3" s="99" t="str">
        <f ca="1">_xlfn.CONCAT(INDIRECT(ADDRESS($A$3,BI2))," ",INDIRECT(ADDRESS($A$3,BK2)))</f>
        <v>HW Max</v>
      </c>
      <c r="BJ3" s="99"/>
      <c r="BK3" s="100"/>
      <c r="BL3" s="98" t="str">
        <f ca="1">_xlfn.CONCAT(INDIRECT(ADDRESS($A$3,BL2))," ",INDIRECT(ADDRESS($A$3,BN2)))</f>
        <v>TW Min</v>
      </c>
      <c r="BM3" s="99"/>
      <c r="BN3" s="99"/>
      <c r="BO3" s="99" t="str">
        <f ca="1">_xlfn.CONCAT(INDIRECT(ADDRESS($A$3,BO2))," ",INDIRECT(ADDRESS($A$3,BQ2)))</f>
        <v>TW Max</v>
      </c>
      <c r="BP3" s="99"/>
      <c r="BQ3" s="100"/>
      <c r="BR3" s="98" t="str">
        <f ca="1">_xlfn.CONCAT(INDIRECT(ADDRESS($A$3,BR2))," ",INDIRECT(ADDRESS($A$3,BT2)))</f>
        <v>BF Min</v>
      </c>
      <c r="BS3" s="99"/>
      <c r="BT3" s="99"/>
      <c r="BU3" s="99" t="str">
        <f ca="1">_xlfn.CONCAT(INDIRECT(ADDRESS($A$3,BU2))," ",INDIRECT(ADDRESS($A$3,BW2)))</f>
        <v>BF Max</v>
      </c>
      <c r="BV3" s="99"/>
      <c r="BW3" s="100"/>
      <c r="BX3" s="98" t="str">
        <f ca="1">_xlfn.CONCAT(INDIRECT(ADDRESS($A$3,BX2))," ",INDIRECT(ADDRESS($A$3,BZ2)))</f>
        <v>TF Min</v>
      </c>
      <c r="BY3" s="99"/>
      <c r="BZ3" s="99"/>
      <c r="CA3" s="99" t="str">
        <f ca="1">_xlfn.CONCAT(INDIRECT(ADDRESS($A$3,CA2))," ",INDIRECT(ADDRESS($A$3,CC2)))</f>
        <v>TF Max</v>
      </c>
      <c r="CB3" s="99"/>
      <c r="CC3" s="100"/>
      <c r="CD3" s="98" t="str">
        <f ca="1">_xlfn.CONCAT(INDIRECT(ADDRESS($A$3,CD2))," ",INDIRECT(ADDRESS($A$3,CF2)))</f>
        <v>Ϭmaxč Ϭcrit</v>
      </c>
      <c r="CE3" s="99"/>
      <c r="CF3" s="100"/>
      <c r="CG3" s="98" t="str">
        <f ca="1">_xlfn.CONCAT(INDIRECT(ADDRESS($A$3,CG2))," ",INDIRECT(ADDRESS($A$3,CI2)))</f>
        <v>Ϭmaxp Ϭcrit</v>
      </c>
      <c r="CH3" s="99"/>
      <c r="CI3" s="100"/>
    </row>
    <row r="4" spans="1:87" x14ac:dyDescent="0.25">
      <c r="A4">
        <f t="shared" si="2"/>
        <v>4</v>
      </c>
      <c r="C4" s="51" t="s">
        <v>24</v>
      </c>
      <c r="D4" s="86">
        <v>600</v>
      </c>
      <c r="E4" s="87">
        <v>12</v>
      </c>
      <c r="F4" s="87">
        <v>200</v>
      </c>
      <c r="G4" s="88">
        <v>15</v>
      </c>
      <c r="H4" s="47">
        <f>Analiza_okvira_LC_kombinirani!O31</f>
        <v>32700</v>
      </c>
      <c r="I4" s="30">
        <f>F4/G4</f>
        <v>13.333333333333334</v>
      </c>
      <c r="J4" s="57">
        <v>4</v>
      </c>
      <c r="K4" s="64">
        <v>20</v>
      </c>
      <c r="L4" s="61">
        <f>D4/E4</f>
        <v>50</v>
      </c>
      <c r="M4" s="32">
        <v>90</v>
      </c>
      <c r="N4" s="30">
        <f>F4/D4</f>
        <v>0.33333333333333331</v>
      </c>
      <c r="O4" s="31">
        <v>0.2</v>
      </c>
      <c r="P4" s="32">
        <v>0.5</v>
      </c>
      <c r="Q4" s="30">
        <f>G4/E4</f>
        <v>1.25</v>
      </c>
      <c r="R4" s="31">
        <v>1</v>
      </c>
      <c r="S4" s="32">
        <v>3</v>
      </c>
      <c r="T4" s="30">
        <f>D4</f>
        <v>600</v>
      </c>
      <c r="U4" s="31">
        <v>500</v>
      </c>
      <c r="V4" s="32">
        <v>1500</v>
      </c>
      <c r="W4" s="30">
        <f>E4</f>
        <v>12</v>
      </c>
      <c r="X4" s="31">
        <v>5</v>
      </c>
      <c r="Y4" s="32">
        <v>25</v>
      </c>
      <c r="Z4" s="30">
        <f>F4</f>
        <v>200</v>
      </c>
      <c r="AA4" s="31">
        <v>50</v>
      </c>
      <c r="AB4" s="32">
        <v>500</v>
      </c>
      <c r="AC4" s="30">
        <f>G4</f>
        <v>15</v>
      </c>
      <c r="AD4" s="31">
        <v>5</v>
      </c>
      <c r="AE4" s="32">
        <v>30</v>
      </c>
      <c r="AG4" s="71">
        <f>K18</f>
        <v>463.22528711054275</v>
      </c>
      <c r="AH4" s="72">
        <f>L18</f>
        <v>387.07155917884478</v>
      </c>
      <c r="AI4" s="77">
        <f>M18</f>
        <v>160</v>
      </c>
      <c r="AK4" s="33" t="str">
        <f>ADDRESS($A4,AK$2)</f>
        <v>$I$4</v>
      </c>
      <c r="AL4" s="1">
        <f>AL$2</f>
        <v>3</v>
      </c>
      <c r="AM4" s="1" t="str">
        <f>ADDRESS($A4,AM$2)</f>
        <v>$J$4</v>
      </c>
      <c r="AN4" s="1" t="str">
        <f>ADDRESS($A4,AN$2)</f>
        <v>$I$4</v>
      </c>
      <c r="AO4" s="1">
        <f>AO$2</f>
        <v>1</v>
      </c>
      <c r="AP4" s="39" t="str">
        <f>ADDRESS($A4,AP$2)</f>
        <v>$K$4</v>
      </c>
      <c r="AQ4" s="33" t="str">
        <f>ADDRESS($A4,AQ$2)</f>
        <v>$L$4</v>
      </c>
      <c r="AR4" s="1">
        <f>AR$2</f>
        <v>1</v>
      </c>
      <c r="AS4" s="39" t="str">
        <f>ADDRESS($A4,AS$2)</f>
        <v>$M$4</v>
      </c>
      <c r="AT4" s="33" t="str">
        <f>ADDRESS($A4,AT$2)</f>
        <v>$N$4</v>
      </c>
      <c r="AU4" s="1">
        <f>AU$2</f>
        <v>3</v>
      </c>
      <c r="AV4" s="1" t="str">
        <f>ADDRESS($A4,AV$2)</f>
        <v>$O$4</v>
      </c>
      <c r="AW4" s="1" t="str">
        <f>ADDRESS($A4,AW$2)</f>
        <v>$N$4</v>
      </c>
      <c r="AX4" s="1">
        <f>AX$2</f>
        <v>1</v>
      </c>
      <c r="AY4" s="39" t="str">
        <f>ADDRESS($A4,AY$2)</f>
        <v>$P$4</v>
      </c>
      <c r="AZ4" s="33" t="str">
        <f>ADDRESS($A4,AZ$2)</f>
        <v>$Q$4</v>
      </c>
      <c r="BA4" s="1">
        <f>BA$2</f>
        <v>3</v>
      </c>
      <c r="BB4" s="1" t="str">
        <f>ADDRESS($A4,BB$2)</f>
        <v>$R$4</v>
      </c>
      <c r="BC4" s="1" t="str">
        <f>ADDRESS($A4,BC$2)</f>
        <v>$Q$4</v>
      </c>
      <c r="BD4" s="1">
        <f>BD$2</f>
        <v>1</v>
      </c>
      <c r="BE4" s="39" t="str">
        <f>ADDRESS($A4,BE$2)</f>
        <v>$S$4</v>
      </c>
      <c r="BF4" s="33" t="str">
        <f>ADDRESS($A4,BF$2)</f>
        <v>$D$4</v>
      </c>
      <c r="BG4" s="1">
        <f>BG$2</f>
        <v>3</v>
      </c>
      <c r="BH4" s="1" t="str">
        <f>ADDRESS($A4,BH$2)</f>
        <v>$U$4</v>
      </c>
      <c r="BI4" s="1" t="str">
        <f>ADDRESS($A4,BI$2)</f>
        <v>$D$4</v>
      </c>
      <c r="BJ4" s="1">
        <f>BJ$2</f>
        <v>1</v>
      </c>
      <c r="BK4" s="39" t="str">
        <f>ADDRESS($A4,BK$2)</f>
        <v>$V$4</v>
      </c>
      <c r="BL4" s="33" t="str">
        <f>ADDRESS($A4,BL$2)</f>
        <v>$E$4</v>
      </c>
      <c r="BM4" s="1">
        <f>BM$2</f>
        <v>3</v>
      </c>
      <c r="BN4" s="1" t="str">
        <f>ADDRESS($A4,BN$2)</f>
        <v>$X$4</v>
      </c>
      <c r="BO4" s="1" t="str">
        <f>ADDRESS($A4,BO$2)</f>
        <v>$E$4</v>
      </c>
      <c r="BP4" s="1">
        <f>BP$2</f>
        <v>1</v>
      </c>
      <c r="BQ4" s="39" t="str">
        <f>ADDRESS($A4,BQ$2)</f>
        <v>$Y$4</v>
      </c>
      <c r="BR4" s="33" t="str">
        <f>ADDRESS($A4,BR$2)</f>
        <v>$F$4</v>
      </c>
      <c r="BS4" s="1">
        <f>BS$2</f>
        <v>3</v>
      </c>
      <c r="BT4" s="1" t="str">
        <f>ADDRESS($A4,BT$2)</f>
        <v>$AA$4</v>
      </c>
      <c r="BU4" s="1" t="str">
        <f>ADDRESS($A4,BU$2)</f>
        <v>$F$4</v>
      </c>
      <c r="BV4" s="1">
        <f>BV$2</f>
        <v>1</v>
      </c>
      <c r="BW4" s="39" t="str">
        <f>ADDRESS($A4,BW$2)</f>
        <v>$AB$4</v>
      </c>
      <c r="BX4" s="33" t="str">
        <f>ADDRESS($A4,BX$2)</f>
        <v>$G$4</v>
      </c>
      <c r="BY4" s="1">
        <f>BY$2</f>
        <v>3</v>
      </c>
      <c r="BZ4" s="1" t="str">
        <f>ADDRESS($A4,BZ$2)</f>
        <v>$AD$4</v>
      </c>
      <c r="CA4" s="1" t="str">
        <f>ADDRESS($A4,CA$2)</f>
        <v>$G$4</v>
      </c>
      <c r="CB4" s="1">
        <f>CB$2</f>
        <v>1</v>
      </c>
      <c r="CC4" s="39" t="str">
        <f>ADDRESS($A4,CC$2)</f>
        <v>$AE$4</v>
      </c>
      <c r="CD4" s="33" t="str">
        <f>ADDRESS($A4,CD$2)</f>
        <v>$AG$4</v>
      </c>
      <c r="CE4" s="1">
        <f>CE$2</f>
        <v>1</v>
      </c>
      <c r="CF4" s="39" t="str">
        <f>ADDRESS($A4,CF$2)</f>
        <v>$AI$4</v>
      </c>
      <c r="CG4" s="33" t="str">
        <f>ADDRESS($A4,CG$2)</f>
        <v>$AH$4</v>
      </c>
      <c r="CH4" s="1">
        <f>CH$2</f>
        <v>1</v>
      </c>
      <c r="CI4" s="39" t="str">
        <f>ADDRESS($A4,CI$2)</f>
        <v>$AI$4</v>
      </c>
    </row>
    <row r="5" spans="1:87" x14ac:dyDescent="0.25">
      <c r="A5">
        <f t="shared" si="2"/>
        <v>5</v>
      </c>
      <c r="C5" s="35" t="s">
        <v>25</v>
      </c>
      <c r="D5" s="89">
        <v>400</v>
      </c>
      <c r="E5" s="90">
        <v>10</v>
      </c>
      <c r="F5" s="90">
        <v>150</v>
      </c>
      <c r="G5" s="91">
        <v>12</v>
      </c>
      <c r="H5" s="35">
        <f>Analiza_okvira_LC_kombinirani!O32</f>
        <v>28300</v>
      </c>
      <c r="I5" s="33">
        <f t="shared" ref="I5:I13" si="3">F5/G5</f>
        <v>12.5</v>
      </c>
      <c r="J5" s="48">
        <v>4</v>
      </c>
      <c r="K5" s="65">
        <v>20</v>
      </c>
      <c r="L5" s="62">
        <f t="shared" ref="L5:L13" si="4">D5/E5</f>
        <v>40</v>
      </c>
      <c r="M5" s="39">
        <v>90</v>
      </c>
      <c r="N5" s="33">
        <f t="shared" ref="N5:N13" si="5">F5/D5</f>
        <v>0.375</v>
      </c>
      <c r="O5" s="1">
        <v>0.2</v>
      </c>
      <c r="P5" s="39">
        <v>0.5</v>
      </c>
      <c r="Q5" s="33">
        <f>G5/E5</f>
        <v>1.2</v>
      </c>
      <c r="R5" s="1">
        <v>1</v>
      </c>
      <c r="S5" s="39">
        <v>3</v>
      </c>
      <c r="T5" s="33">
        <f t="shared" ref="T5:T13" si="6">D5</f>
        <v>400</v>
      </c>
      <c r="U5" s="1">
        <v>500</v>
      </c>
      <c r="V5" s="39">
        <v>1500</v>
      </c>
      <c r="W5" s="33">
        <f t="shared" ref="W5:W13" si="7">E5</f>
        <v>10</v>
      </c>
      <c r="X5" s="1">
        <v>5</v>
      </c>
      <c r="Y5" s="39">
        <v>25</v>
      </c>
      <c r="Z5" s="33">
        <f t="shared" ref="Z5:Z13" si="8">F5</f>
        <v>150</v>
      </c>
      <c r="AA5" s="1">
        <v>50</v>
      </c>
      <c r="AB5" s="39">
        <v>500</v>
      </c>
      <c r="AC5" s="33">
        <f t="shared" ref="AC5:AC13" si="9">G5</f>
        <v>12</v>
      </c>
      <c r="AD5" s="1">
        <v>5</v>
      </c>
      <c r="AE5" s="39">
        <v>30</v>
      </c>
      <c r="AG5" s="73">
        <f t="shared" ref="AG5:AG13" si="10">K19</f>
        <v>1162.0903326665152</v>
      </c>
      <c r="AH5" s="16">
        <f t="shared" ref="AH5:AH13" si="11">L19</f>
        <v>0</v>
      </c>
      <c r="AI5" s="78">
        <f t="shared" ref="AI5:AI13" si="12">M19</f>
        <v>160</v>
      </c>
      <c r="AK5" s="33" t="str">
        <f t="shared" ref="AK5:AK13" si="13">ADDRESS($A5,AK$2)</f>
        <v>$I$5</v>
      </c>
      <c r="AL5" s="1">
        <f t="shared" ref="AL5:AL13" si="14">AL$2</f>
        <v>3</v>
      </c>
      <c r="AM5" s="1" t="str">
        <f t="shared" ref="AM5:BB13" si="15">ADDRESS($A5,AM$2)</f>
        <v>$J$5</v>
      </c>
      <c r="AN5" s="1" t="str">
        <f t="shared" si="15"/>
        <v>$I$5</v>
      </c>
      <c r="AO5" s="1">
        <f t="shared" ref="AO5:AO13" si="16">AO$2</f>
        <v>1</v>
      </c>
      <c r="AP5" s="39" t="str">
        <f t="shared" si="15"/>
        <v>$K$5</v>
      </c>
      <c r="AQ5" s="33" t="str">
        <f t="shared" si="15"/>
        <v>$L$5</v>
      </c>
      <c r="AR5" s="1">
        <f t="shared" ref="AR5:AR13" si="17">AR$2</f>
        <v>1</v>
      </c>
      <c r="AS5" s="39" t="str">
        <f t="shared" si="15"/>
        <v>$M$5</v>
      </c>
      <c r="AT5" s="33" t="str">
        <f t="shared" si="15"/>
        <v>$N$5</v>
      </c>
      <c r="AU5" s="1">
        <f t="shared" ref="AU5:AU13" si="18">AU$2</f>
        <v>3</v>
      </c>
      <c r="AV5" s="1" t="str">
        <f t="shared" si="15"/>
        <v>$O$5</v>
      </c>
      <c r="AW5" s="1" t="str">
        <f t="shared" si="15"/>
        <v>$N$5</v>
      </c>
      <c r="AX5" s="1">
        <f t="shared" ref="AX5:AX13" si="19">AX$2</f>
        <v>1</v>
      </c>
      <c r="AY5" s="39" t="str">
        <f t="shared" si="15"/>
        <v>$P$5</v>
      </c>
      <c r="AZ5" s="33" t="str">
        <f t="shared" si="15"/>
        <v>$Q$5</v>
      </c>
      <c r="BA5" s="1">
        <f t="shared" ref="BA5:BA13" si="20">BA$2</f>
        <v>3</v>
      </c>
      <c r="BB5" s="1" t="str">
        <f t="shared" si="15"/>
        <v>$R$5</v>
      </c>
      <c r="BC5" s="1" t="str">
        <f t="shared" ref="AZ5:BO13" si="21">ADDRESS($A5,BC$2)</f>
        <v>$Q$5</v>
      </c>
      <c r="BD5" s="1">
        <f t="shared" ref="BD5:BD13" si="22">BD$2</f>
        <v>1</v>
      </c>
      <c r="BE5" s="39" t="str">
        <f t="shared" si="21"/>
        <v>$S$5</v>
      </c>
      <c r="BF5" s="33" t="str">
        <f t="shared" si="21"/>
        <v>$D$5</v>
      </c>
      <c r="BG5" s="1">
        <f t="shared" ref="BG5:BG13" si="23">BG$2</f>
        <v>3</v>
      </c>
      <c r="BH5" s="1" t="str">
        <f t="shared" si="21"/>
        <v>$U$5</v>
      </c>
      <c r="BI5" s="1" t="str">
        <f t="shared" si="21"/>
        <v>$D$5</v>
      </c>
      <c r="BJ5" s="1">
        <f t="shared" ref="BJ5:BJ13" si="24">BJ$2</f>
        <v>1</v>
      </c>
      <c r="BK5" s="39" t="str">
        <f t="shared" si="21"/>
        <v>$V$5</v>
      </c>
      <c r="BL5" s="33" t="str">
        <f t="shared" si="21"/>
        <v>$E$5</v>
      </c>
      <c r="BM5" s="1">
        <f t="shared" ref="BM5:BM13" si="25">BM$2</f>
        <v>3</v>
      </c>
      <c r="BN5" s="1" t="str">
        <f t="shared" si="21"/>
        <v>$X$5</v>
      </c>
      <c r="BO5" s="1" t="str">
        <f t="shared" si="21"/>
        <v>$E$5</v>
      </c>
      <c r="BP5" s="1">
        <f t="shared" ref="BP5:BP13" si="26">BP$2</f>
        <v>1</v>
      </c>
      <c r="BQ5" s="39" t="str">
        <f t="shared" ref="BL5:CA13" si="27">ADDRESS($A5,BQ$2)</f>
        <v>$Y$5</v>
      </c>
      <c r="BR5" s="33" t="str">
        <f t="shared" si="27"/>
        <v>$F$5</v>
      </c>
      <c r="BS5" s="1">
        <f t="shared" ref="BS5:BS13" si="28">BS$2</f>
        <v>3</v>
      </c>
      <c r="BT5" s="1" t="str">
        <f t="shared" si="27"/>
        <v>$AA$5</v>
      </c>
      <c r="BU5" s="1" t="str">
        <f t="shared" si="27"/>
        <v>$F$5</v>
      </c>
      <c r="BV5" s="1">
        <f t="shared" ref="BV5:BV13" si="29">BV$2</f>
        <v>1</v>
      </c>
      <c r="BW5" s="39" t="str">
        <f t="shared" si="27"/>
        <v>$AB$5</v>
      </c>
      <c r="BX5" s="33" t="str">
        <f t="shared" si="27"/>
        <v>$G$5</v>
      </c>
      <c r="BY5" s="1">
        <f t="shared" ref="BY5:BY13" si="30">BY$2</f>
        <v>3</v>
      </c>
      <c r="BZ5" s="1" t="str">
        <f t="shared" si="27"/>
        <v>$AD$5</v>
      </c>
      <c r="CA5" s="1" t="str">
        <f t="shared" si="27"/>
        <v>$G$5</v>
      </c>
      <c r="CB5" s="1">
        <f t="shared" ref="CB5:CB13" si="31">CB$2</f>
        <v>1</v>
      </c>
      <c r="CC5" s="39" t="str">
        <f t="shared" ref="BX5:CI13" si="32">ADDRESS($A5,CC$2)</f>
        <v>$AE$5</v>
      </c>
      <c r="CD5" s="33" t="str">
        <f t="shared" si="32"/>
        <v>$AG$5</v>
      </c>
      <c r="CE5" s="1">
        <f t="shared" ref="CE5:CE13" si="33">CE$2</f>
        <v>1</v>
      </c>
      <c r="CF5" s="39" t="str">
        <f t="shared" si="32"/>
        <v>$AI$5</v>
      </c>
      <c r="CG5" s="33" t="str">
        <f t="shared" si="32"/>
        <v>$AH$5</v>
      </c>
      <c r="CH5" s="1">
        <f t="shared" ref="CH5:CH13" si="34">CH$2</f>
        <v>1</v>
      </c>
      <c r="CI5" s="39" t="str">
        <f t="shared" si="32"/>
        <v>$AI$5</v>
      </c>
    </row>
    <row r="6" spans="1:87" x14ac:dyDescent="0.25">
      <c r="A6">
        <f t="shared" si="2"/>
        <v>6</v>
      </c>
      <c r="C6" s="35" t="s">
        <v>26</v>
      </c>
      <c r="D6" s="86">
        <v>600</v>
      </c>
      <c r="E6" s="87">
        <v>12</v>
      </c>
      <c r="F6" s="87">
        <v>200</v>
      </c>
      <c r="G6" s="88">
        <v>15</v>
      </c>
      <c r="H6" s="35">
        <f>Analiza_okvira_LC_kombinirani!O33</f>
        <v>32700</v>
      </c>
      <c r="I6" s="33">
        <f t="shared" si="3"/>
        <v>13.333333333333334</v>
      </c>
      <c r="J6" s="48">
        <v>4</v>
      </c>
      <c r="K6" s="65">
        <v>20</v>
      </c>
      <c r="L6" s="62">
        <f t="shared" si="4"/>
        <v>50</v>
      </c>
      <c r="M6" s="39">
        <v>90</v>
      </c>
      <c r="N6" s="33">
        <f t="shared" si="5"/>
        <v>0.33333333333333331</v>
      </c>
      <c r="O6" s="1">
        <v>0.2</v>
      </c>
      <c r="P6" s="39">
        <v>0.5</v>
      </c>
      <c r="Q6" s="33">
        <f t="shared" ref="Q6:Q13" si="35">G6/E6</f>
        <v>1.25</v>
      </c>
      <c r="R6" s="1">
        <v>1</v>
      </c>
      <c r="S6" s="39">
        <v>3</v>
      </c>
      <c r="T6" s="33">
        <f t="shared" si="6"/>
        <v>600</v>
      </c>
      <c r="U6" s="1">
        <v>500</v>
      </c>
      <c r="V6" s="39">
        <v>1500</v>
      </c>
      <c r="W6" s="33">
        <f t="shared" si="7"/>
        <v>12</v>
      </c>
      <c r="X6" s="1">
        <v>5</v>
      </c>
      <c r="Y6" s="39">
        <v>25</v>
      </c>
      <c r="Z6" s="33">
        <f t="shared" si="8"/>
        <v>200</v>
      </c>
      <c r="AA6" s="1">
        <v>50</v>
      </c>
      <c r="AB6" s="39">
        <v>500</v>
      </c>
      <c r="AC6" s="33">
        <f t="shared" si="9"/>
        <v>15</v>
      </c>
      <c r="AD6" s="1">
        <v>5</v>
      </c>
      <c r="AE6" s="39">
        <v>30</v>
      </c>
      <c r="AG6" s="73">
        <f t="shared" si="10"/>
        <v>650.04906781570207</v>
      </c>
      <c r="AH6" s="16">
        <f t="shared" si="11"/>
        <v>412.82199004603228</v>
      </c>
      <c r="AI6" s="78">
        <f t="shared" si="12"/>
        <v>160</v>
      </c>
      <c r="AK6" s="33" t="str">
        <f t="shared" si="13"/>
        <v>$I$6</v>
      </c>
      <c r="AL6" s="1">
        <f t="shared" si="14"/>
        <v>3</v>
      </c>
      <c r="AM6" s="1" t="str">
        <f t="shared" si="15"/>
        <v>$J$6</v>
      </c>
      <c r="AN6" s="1" t="str">
        <f t="shared" si="15"/>
        <v>$I$6</v>
      </c>
      <c r="AO6" s="1">
        <f t="shared" si="16"/>
        <v>1</v>
      </c>
      <c r="AP6" s="39" t="str">
        <f t="shared" si="15"/>
        <v>$K$6</v>
      </c>
      <c r="AQ6" s="33" t="str">
        <f t="shared" si="15"/>
        <v>$L$6</v>
      </c>
      <c r="AR6" s="1">
        <f t="shared" si="17"/>
        <v>1</v>
      </c>
      <c r="AS6" s="39" t="str">
        <f t="shared" si="15"/>
        <v>$M$6</v>
      </c>
      <c r="AT6" s="33" t="str">
        <f t="shared" si="15"/>
        <v>$N$6</v>
      </c>
      <c r="AU6" s="1">
        <f t="shared" si="18"/>
        <v>3</v>
      </c>
      <c r="AV6" s="1" t="str">
        <f t="shared" si="15"/>
        <v>$O$6</v>
      </c>
      <c r="AW6" s="1" t="str">
        <f t="shared" si="15"/>
        <v>$N$6</v>
      </c>
      <c r="AX6" s="1">
        <f t="shared" si="19"/>
        <v>1</v>
      </c>
      <c r="AY6" s="39" t="str">
        <f t="shared" si="15"/>
        <v>$P$6</v>
      </c>
      <c r="AZ6" s="33" t="str">
        <f t="shared" si="21"/>
        <v>$Q$6</v>
      </c>
      <c r="BA6" s="1">
        <f t="shared" si="20"/>
        <v>3</v>
      </c>
      <c r="BB6" s="1" t="str">
        <f t="shared" si="21"/>
        <v>$R$6</v>
      </c>
      <c r="BC6" s="1" t="str">
        <f t="shared" si="21"/>
        <v>$Q$6</v>
      </c>
      <c r="BD6" s="1">
        <f t="shared" si="22"/>
        <v>1</v>
      </c>
      <c r="BE6" s="39" t="str">
        <f t="shared" si="21"/>
        <v>$S$6</v>
      </c>
      <c r="BF6" s="33" t="str">
        <f t="shared" si="21"/>
        <v>$D$6</v>
      </c>
      <c r="BG6" s="1">
        <f t="shared" si="23"/>
        <v>3</v>
      </c>
      <c r="BH6" s="1" t="str">
        <f t="shared" si="21"/>
        <v>$U$6</v>
      </c>
      <c r="BI6" s="1" t="str">
        <f t="shared" si="21"/>
        <v>$D$6</v>
      </c>
      <c r="BJ6" s="1">
        <f t="shared" si="24"/>
        <v>1</v>
      </c>
      <c r="BK6" s="39" t="str">
        <f t="shared" si="21"/>
        <v>$V$6</v>
      </c>
      <c r="BL6" s="33" t="str">
        <f t="shared" si="27"/>
        <v>$E$6</v>
      </c>
      <c r="BM6" s="1">
        <f t="shared" si="25"/>
        <v>3</v>
      </c>
      <c r="BN6" s="1" t="str">
        <f t="shared" si="27"/>
        <v>$X$6</v>
      </c>
      <c r="BO6" s="1" t="str">
        <f t="shared" si="27"/>
        <v>$E$6</v>
      </c>
      <c r="BP6" s="1">
        <f t="shared" si="26"/>
        <v>1</v>
      </c>
      <c r="BQ6" s="39" t="str">
        <f t="shared" si="27"/>
        <v>$Y$6</v>
      </c>
      <c r="BR6" s="33" t="str">
        <f t="shared" si="27"/>
        <v>$F$6</v>
      </c>
      <c r="BS6" s="1">
        <f t="shared" si="28"/>
        <v>3</v>
      </c>
      <c r="BT6" s="1" t="str">
        <f t="shared" si="27"/>
        <v>$AA$6</v>
      </c>
      <c r="BU6" s="1" t="str">
        <f t="shared" si="27"/>
        <v>$F$6</v>
      </c>
      <c r="BV6" s="1">
        <f t="shared" si="29"/>
        <v>1</v>
      </c>
      <c r="BW6" s="39" t="str">
        <f t="shared" si="27"/>
        <v>$AB$6</v>
      </c>
      <c r="BX6" s="33" t="str">
        <f t="shared" si="32"/>
        <v>$G$6</v>
      </c>
      <c r="BY6" s="1">
        <f t="shared" si="30"/>
        <v>3</v>
      </c>
      <c r="BZ6" s="1" t="str">
        <f t="shared" si="32"/>
        <v>$AD$6</v>
      </c>
      <c r="CA6" s="1" t="str">
        <f t="shared" si="32"/>
        <v>$G$6</v>
      </c>
      <c r="CB6" s="1">
        <f t="shared" si="31"/>
        <v>1</v>
      </c>
      <c r="CC6" s="39" t="str">
        <f t="shared" si="32"/>
        <v>$AE$6</v>
      </c>
      <c r="CD6" s="33" t="str">
        <f t="shared" si="32"/>
        <v>$AG$6</v>
      </c>
      <c r="CE6" s="1">
        <f t="shared" si="33"/>
        <v>1</v>
      </c>
      <c r="CF6" s="39" t="str">
        <f t="shared" si="32"/>
        <v>$AI$6</v>
      </c>
      <c r="CG6" s="33" t="str">
        <f t="shared" si="32"/>
        <v>$AH$6</v>
      </c>
      <c r="CH6" s="1">
        <f t="shared" si="34"/>
        <v>1</v>
      </c>
      <c r="CI6" s="39" t="str">
        <f t="shared" si="32"/>
        <v>$AI$6</v>
      </c>
    </row>
    <row r="7" spans="1:87" x14ac:dyDescent="0.25">
      <c r="A7">
        <f t="shared" si="2"/>
        <v>7</v>
      </c>
      <c r="C7" s="35" t="s">
        <v>27</v>
      </c>
      <c r="D7" s="89">
        <v>400</v>
      </c>
      <c r="E7" s="90">
        <v>10</v>
      </c>
      <c r="F7" s="90">
        <v>150</v>
      </c>
      <c r="G7" s="91">
        <v>12</v>
      </c>
      <c r="H7" s="35">
        <f>Analiza_okvira_LC_kombinirani!O34</f>
        <v>28300</v>
      </c>
      <c r="I7" s="33">
        <f t="shared" si="3"/>
        <v>12.5</v>
      </c>
      <c r="J7" s="48">
        <v>4</v>
      </c>
      <c r="K7" s="65">
        <v>20</v>
      </c>
      <c r="L7" s="62">
        <f t="shared" si="4"/>
        <v>40</v>
      </c>
      <c r="M7" s="39">
        <v>90</v>
      </c>
      <c r="N7" s="33">
        <f t="shared" si="5"/>
        <v>0.375</v>
      </c>
      <c r="O7" s="1">
        <v>0.2</v>
      </c>
      <c r="P7" s="39">
        <v>0.5</v>
      </c>
      <c r="Q7" s="33">
        <f t="shared" si="35"/>
        <v>1.2</v>
      </c>
      <c r="R7" s="1">
        <v>1</v>
      </c>
      <c r="S7" s="39">
        <v>3</v>
      </c>
      <c r="T7" s="33">
        <f t="shared" si="6"/>
        <v>400</v>
      </c>
      <c r="U7" s="1">
        <v>500</v>
      </c>
      <c r="V7" s="39">
        <v>1500</v>
      </c>
      <c r="W7" s="33">
        <f t="shared" si="7"/>
        <v>10</v>
      </c>
      <c r="X7" s="1">
        <v>5</v>
      </c>
      <c r="Y7" s="39">
        <v>25</v>
      </c>
      <c r="Z7" s="33">
        <f t="shared" si="8"/>
        <v>150</v>
      </c>
      <c r="AA7" s="1">
        <v>50</v>
      </c>
      <c r="AB7" s="39">
        <v>500</v>
      </c>
      <c r="AC7" s="33">
        <f t="shared" si="9"/>
        <v>12</v>
      </c>
      <c r="AD7" s="1">
        <v>5</v>
      </c>
      <c r="AE7" s="39">
        <v>30</v>
      </c>
      <c r="AG7" s="73">
        <f t="shared" si="10"/>
        <v>665.88883078642516</v>
      </c>
      <c r="AH7" s="16">
        <f t="shared" si="11"/>
        <v>0</v>
      </c>
      <c r="AI7" s="78">
        <f t="shared" si="12"/>
        <v>160</v>
      </c>
      <c r="AK7" s="33" t="str">
        <f t="shared" si="13"/>
        <v>$I$7</v>
      </c>
      <c r="AL7" s="1">
        <f t="shared" si="14"/>
        <v>3</v>
      </c>
      <c r="AM7" s="1" t="str">
        <f t="shared" si="15"/>
        <v>$J$7</v>
      </c>
      <c r="AN7" s="1" t="str">
        <f t="shared" si="15"/>
        <v>$I$7</v>
      </c>
      <c r="AO7" s="1">
        <f t="shared" si="16"/>
        <v>1</v>
      </c>
      <c r="AP7" s="39" t="str">
        <f t="shared" si="15"/>
        <v>$K$7</v>
      </c>
      <c r="AQ7" s="33" t="str">
        <f t="shared" si="15"/>
        <v>$L$7</v>
      </c>
      <c r="AR7" s="1">
        <f t="shared" si="17"/>
        <v>1</v>
      </c>
      <c r="AS7" s="39" t="str">
        <f t="shared" si="15"/>
        <v>$M$7</v>
      </c>
      <c r="AT7" s="33" t="str">
        <f t="shared" si="15"/>
        <v>$N$7</v>
      </c>
      <c r="AU7" s="1">
        <f t="shared" si="18"/>
        <v>3</v>
      </c>
      <c r="AV7" s="1" t="str">
        <f t="shared" si="15"/>
        <v>$O$7</v>
      </c>
      <c r="AW7" s="1" t="str">
        <f t="shared" si="15"/>
        <v>$N$7</v>
      </c>
      <c r="AX7" s="1">
        <f t="shared" si="19"/>
        <v>1</v>
      </c>
      <c r="AY7" s="39" t="str">
        <f t="shared" si="15"/>
        <v>$P$7</v>
      </c>
      <c r="AZ7" s="33" t="str">
        <f t="shared" si="21"/>
        <v>$Q$7</v>
      </c>
      <c r="BA7" s="1">
        <f t="shared" si="20"/>
        <v>3</v>
      </c>
      <c r="BB7" s="1" t="str">
        <f t="shared" si="21"/>
        <v>$R$7</v>
      </c>
      <c r="BC7" s="1" t="str">
        <f t="shared" si="21"/>
        <v>$Q$7</v>
      </c>
      <c r="BD7" s="1">
        <f t="shared" si="22"/>
        <v>1</v>
      </c>
      <c r="BE7" s="39" t="str">
        <f t="shared" si="21"/>
        <v>$S$7</v>
      </c>
      <c r="BF7" s="33" t="str">
        <f t="shared" si="21"/>
        <v>$D$7</v>
      </c>
      <c r="BG7" s="1">
        <f t="shared" si="23"/>
        <v>3</v>
      </c>
      <c r="BH7" s="1" t="str">
        <f t="shared" si="21"/>
        <v>$U$7</v>
      </c>
      <c r="BI7" s="1" t="str">
        <f t="shared" si="21"/>
        <v>$D$7</v>
      </c>
      <c r="BJ7" s="1">
        <f t="shared" si="24"/>
        <v>1</v>
      </c>
      <c r="BK7" s="39" t="str">
        <f t="shared" si="21"/>
        <v>$V$7</v>
      </c>
      <c r="BL7" s="33" t="str">
        <f t="shared" si="27"/>
        <v>$E$7</v>
      </c>
      <c r="BM7" s="1">
        <f t="shared" si="25"/>
        <v>3</v>
      </c>
      <c r="BN7" s="1" t="str">
        <f t="shared" si="27"/>
        <v>$X$7</v>
      </c>
      <c r="BO7" s="1" t="str">
        <f t="shared" si="27"/>
        <v>$E$7</v>
      </c>
      <c r="BP7" s="1">
        <f t="shared" si="26"/>
        <v>1</v>
      </c>
      <c r="BQ7" s="39" t="str">
        <f t="shared" si="27"/>
        <v>$Y$7</v>
      </c>
      <c r="BR7" s="33" t="str">
        <f t="shared" si="27"/>
        <v>$F$7</v>
      </c>
      <c r="BS7" s="1">
        <f t="shared" si="28"/>
        <v>3</v>
      </c>
      <c r="BT7" s="1" t="str">
        <f t="shared" si="27"/>
        <v>$AA$7</v>
      </c>
      <c r="BU7" s="1" t="str">
        <f t="shared" si="27"/>
        <v>$F$7</v>
      </c>
      <c r="BV7" s="1">
        <f t="shared" si="29"/>
        <v>1</v>
      </c>
      <c r="BW7" s="39" t="str">
        <f t="shared" si="27"/>
        <v>$AB$7</v>
      </c>
      <c r="BX7" s="33" t="str">
        <f t="shared" si="32"/>
        <v>$G$7</v>
      </c>
      <c r="BY7" s="1">
        <f t="shared" si="30"/>
        <v>3</v>
      </c>
      <c r="BZ7" s="1" t="str">
        <f t="shared" si="32"/>
        <v>$AD$7</v>
      </c>
      <c r="CA7" s="1" t="str">
        <f t="shared" si="32"/>
        <v>$G$7</v>
      </c>
      <c r="CB7" s="1">
        <f t="shared" si="31"/>
        <v>1</v>
      </c>
      <c r="CC7" s="39" t="str">
        <f t="shared" si="32"/>
        <v>$AE$7</v>
      </c>
      <c r="CD7" s="33" t="str">
        <f t="shared" si="32"/>
        <v>$AG$7</v>
      </c>
      <c r="CE7" s="1">
        <f t="shared" si="33"/>
        <v>1</v>
      </c>
      <c r="CF7" s="39" t="str">
        <f t="shared" si="32"/>
        <v>$AI$7</v>
      </c>
      <c r="CG7" s="33" t="str">
        <f t="shared" si="32"/>
        <v>$AH$7</v>
      </c>
      <c r="CH7" s="1">
        <f t="shared" si="34"/>
        <v>1</v>
      </c>
      <c r="CI7" s="39" t="str">
        <f t="shared" si="32"/>
        <v>$AI$7</v>
      </c>
    </row>
    <row r="8" spans="1:87" x14ac:dyDescent="0.25">
      <c r="A8">
        <f t="shared" si="2"/>
        <v>8</v>
      </c>
      <c r="C8" s="35" t="s">
        <v>28</v>
      </c>
      <c r="D8" s="86">
        <v>600</v>
      </c>
      <c r="E8" s="87">
        <v>12</v>
      </c>
      <c r="F8" s="87">
        <v>200</v>
      </c>
      <c r="G8" s="88">
        <v>15</v>
      </c>
      <c r="H8" s="35">
        <f>Analiza_okvira_LC_kombinirani!O35</f>
        <v>32700</v>
      </c>
      <c r="I8" s="33">
        <f t="shared" si="3"/>
        <v>13.333333333333334</v>
      </c>
      <c r="J8" s="48">
        <v>4</v>
      </c>
      <c r="K8" s="65">
        <v>20</v>
      </c>
      <c r="L8" s="62">
        <f t="shared" si="4"/>
        <v>50</v>
      </c>
      <c r="M8" s="39">
        <v>90</v>
      </c>
      <c r="N8" s="33">
        <f t="shared" si="5"/>
        <v>0.33333333333333331</v>
      </c>
      <c r="O8" s="1">
        <v>0.2</v>
      </c>
      <c r="P8" s="39">
        <v>0.5</v>
      </c>
      <c r="Q8" s="33">
        <f t="shared" si="35"/>
        <v>1.25</v>
      </c>
      <c r="R8" s="1">
        <v>1</v>
      </c>
      <c r="S8" s="39">
        <v>3</v>
      </c>
      <c r="T8" s="33">
        <f t="shared" si="6"/>
        <v>600</v>
      </c>
      <c r="U8" s="1">
        <v>500</v>
      </c>
      <c r="V8" s="39">
        <v>1500</v>
      </c>
      <c r="W8" s="33">
        <f t="shared" si="7"/>
        <v>12</v>
      </c>
      <c r="X8" s="1">
        <v>5</v>
      </c>
      <c r="Y8" s="39">
        <v>25</v>
      </c>
      <c r="Z8" s="33">
        <f t="shared" si="8"/>
        <v>200</v>
      </c>
      <c r="AA8" s="1">
        <v>50</v>
      </c>
      <c r="AB8" s="39">
        <v>500</v>
      </c>
      <c r="AC8" s="33">
        <f t="shared" si="9"/>
        <v>15</v>
      </c>
      <c r="AD8" s="1">
        <v>5</v>
      </c>
      <c r="AE8" s="39">
        <v>30</v>
      </c>
      <c r="AG8" s="73">
        <f t="shared" si="10"/>
        <v>575.55490148068372</v>
      </c>
      <c r="AH8" s="16">
        <f t="shared" si="11"/>
        <v>446.39568751093253</v>
      </c>
      <c r="AI8" s="78">
        <f t="shared" si="12"/>
        <v>160</v>
      </c>
      <c r="AK8" s="33" t="str">
        <f t="shared" si="13"/>
        <v>$I$8</v>
      </c>
      <c r="AL8" s="1">
        <f t="shared" si="14"/>
        <v>3</v>
      </c>
      <c r="AM8" s="1" t="str">
        <f t="shared" si="15"/>
        <v>$J$8</v>
      </c>
      <c r="AN8" s="1" t="str">
        <f t="shared" si="15"/>
        <v>$I$8</v>
      </c>
      <c r="AO8" s="1">
        <f t="shared" si="16"/>
        <v>1</v>
      </c>
      <c r="AP8" s="39" t="str">
        <f t="shared" si="15"/>
        <v>$K$8</v>
      </c>
      <c r="AQ8" s="33" t="str">
        <f t="shared" si="15"/>
        <v>$L$8</v>
      </c>
      <c r="AR8" s="1">
        <f t="shared" si="17"/>
        <v>1</v>
      </c>
      <c r="AS8" s="39" t="str">
        <f t="shared" si="15"/>
        <v>$M$8</v>
      </c>
      <c r="AT8" s="33" t="str">
        <f t="shared" si="15"/>
        <v>$N$8</v>
      </c>
      <c r="AU8" s="1">
        <f t="shared" si="18"/>
        <v>3</v>
      </c>
      <c r="AV8" s="1" t="str">
        <f t="shared" si="15"/>
        <v>$O$8</v>
      </c>
      <c r="AW8" s="1" t="str">
        <f t="shared" si="15"/>
        <v>$N$8</v>
      </c>
      <c r="AX8" s="1">
        <f t="shared" si="19"/>
        <v>1</v>
      </c>
      <c r="AY8" s="39" t="str">
        <f t="shared" si="15"/>
        <v>$P$8</v>
      </c>
      <c r="AZ8" s="33" t="str">
        <f t="shared" si="21"/>
        <v>$Q$8</v>
      </c>
      <c r="BA8" s="1">
        <f t="shared" si="20"/>
        <v>3</v>
      </c>
      <c r="BB8" s="1" t="str">
        <f t="shared" si="21"/>
        <v>$R$8</v>
      </c>
      <c r="BC8" s="1" t="str">
        <f t="shared" si="21"/>
        <v>$Q$8</v>
      </c>
      <c r="BD8" s="1">
        <f t="shared" si="22"/>
        <v>1</v>
      </c>
      <c r="BE8" s="39" t="str">
        <f t="shared" si="21"/>
        <v>$S$8</v>
      </c>
      <c r="BF8" s="33" t="str">
        <f t="shared" si="21"/>
        <v>$D$8</v>
      </c>
      <c r="BG8" s="1">
        <f t="shared" si="23"/>
        <v>3</v>
      </c>
      <c r="BH8" s="1" t="str">
        <f t="shared" si="21"/>
        <v>$U$8</v>
      </c>
      <c r="BI8" s="1" t="str">
        <f t="shared" si="21"/>
        <v>$D$8</v>
      </c>
      <c r="BJ8" s="1">
        <f t="shared" si="24"/>
        <v>1</v>
      </c>
      <c r="BK8" s="39" t="str">
        <f t="shared" si="21"/>
        <v>$V$8</v>
      </c>
      <c r="BL8" s="33" t="str">
        <f t="shared" si="27"/>
        <v>$E$8</v>
      </c>
      <c r="BM8" s="1">
        <f t="shared" si="25"/>
        <v>3</v>
      </c>
      <c r="BN8" s="1" t="str">
        <f t="shared" si="27"/>
        <v>$X$8</v>
      </c>
      <c r="BO8" s="1" t="str">
        <f t="shared" si="27"/>
        <v>$E$8</v>
      </c>
      <c r="BP8" s="1">
        <f t="shared" si="26"/>
        <v>1</v>
      </c>
      <c r="BQ8" s="39" t="str">
        <f t="shared" si="27"/>
        <v>$Y$8</v>
      </c>
      <c r="BR8" s="33" t="str">
        <f t="shared" si="27"/>
        <v>$F$8</v>
      </c>
      <c r="BS8" s="1">
        <f t="shared" si="28"/>
        <v>3</v>
      </c>
      <c r="BT8" s="1" t="str">
        <f t="shared" si="27"/>
        <v>$AA$8</v>
      </c>
      <c r="BU8" s="1" t="str">
        <f t="shared" si="27"/>
        <v>$F$8</v>
      </c>
      <c r="BV8" s="1">
        <f t="shared" si="29"/>
        <v>1</v>
      </c>
      <c r="BW8" s="39" t="str">
        <f t="shared" si="27"/>
        <v>$AB$8</v>
      </c>
      <c r="BX8" s="33" t="str">
        <f t="shared" si="32"/>
        <v>$G$8</v>
      </c>
      <c r="BY8" s="1">
        <f t="shared" si="30"/>
        <v>3</v>
      </c>
      <c r="BZ8" s="1" t="str">
        <f t="shared" si="32"/>
        <v>$AD$8</v>
      </c>
      <c r="CA8" s="1" t="str">
        <f t="shared" si="32"/>
        <v>$G$8</v>
      </c>
      <c r="CB8" s="1">
        <f t="shared" si="31"/>
        <v>1</v>
      </c>
      <c r="CC8" s="39" t="str">
        <f t="shared" si="32"/>
        <v>$AE$8</v>
      </c>
      <c r="CD8" s="33" t="str">
        <f t="shared" si="32"/>
        <v>$AG$8</v>
      </c>
      <c r="CE8" s="1">
        <f t="shared" si="33"/>
        <v>1</v>
      </c>
      <c r="CF8" s="39" t="str">
        <f t="shared" si="32"/>
        <v>$AI$8</v>
      </c>
      <c r="CG8" s="33" t="str">
        <f t="shared" si="32"/>
        <v>$AH$8</v>
      </c>
      <c r="CH8" s="1">
        <f t="shared" si="34"/>
        <v>1</v>
      </c>
      <c r="CI8" s="39" t="str">
        <f t="shared" si="32"/>
        <v>$AI$8</v>
      </c>
    </row>
    <row r="9" spans="1:87" x14ac:dyDescent="0.25">
      <c r="A9">
        <f t="shared" si="2"/>
        <v>9</v>
      </c>
      <c r="C9" s="35" t="s">
        <v>29</v>
      </c>
      <c r="D9" s="86">
        <v>600</v>
      </c>
      <c r="E9" s="87">
        <v>12</v>
      </c>
      <c r="F9" s="87">
        <v>200</v>
      </c>
      <c r="G9" s="88">
        <v>15</v>
      </c>
      <c r="H9" s="35">
        <f>Analiza_okvira_LC_kombinirani!O36</f>
        <v>32700</v>
      </c>
      <c r="I9" s="33">
        <f t="shared" si="3"/>
        <v>13.333333333333334</v>
      </c>
      <c r="J9" s="48">
        <v>4</v>
      </c>
      <c r="K9" s="65">
        <v>20</v>
      </c>
      <c r="L9" s="62">
        <f t="shared" si="4"/>
        <v>50</v>
      </c>
      <c r="M9" s="39">
        <v>90</v>
      </c>
      <c r="N9" s="33">
        <f t="shared" si="5"/>
        <v>0.33333333333333331</v>
      </c>
      <c r="O9" s="1">
        <v>0.2</v>
      </c>
      <c r="P9" s="39">
        <v>0.5</v>
      </c>
      <c r="Q9" s="33">
        <f t="shared" si="35"/>
        <v>1.25</v>
      </c>
      <c r="R9" s="1">
        <v>1</v>
      </c>
      <c r="S9" s="39">
        <v>3</v>
      </c>
      <c r="T9" s="33">
        <f t="shared" si="6"/>
        <v>600</v>
      </c>
      <c r="U9" s="1">
        <v>500</v>
      </c>
      <c r="V9" s="39">
        <v>1500</v>
      </c>
      <c r="W9" s="33">
        <f t="shared" si="7"/>
        <v>12</v>
      </c>
      <c r="X9" s="1">
        <v>5</v>
      </c>
      <c r="Y9" s="39">
        <v>25</v>
      </c>
      <c r="Z9" s="33">
        <f t="shared" si="8"/>
        <v>200</v>
      </c>
      <c r="AA9" s="1">
        <v>50</v>
      </c>
      <c r="AB9" s="39">
        <v>500</v>
      </c>
      <c r="AC9" s="33">
        <f t="shared" si="9"/>
        <v>15</v>
      </c>
      <c r="AD9" s="1">
        <v>5</v>
      </c>
      <c r="AE9" s="39">
        <v>30</v>
      </c>
      <c r="AG9" s="73">
        <f t="shared" si="10"/>
        <v>532.72439219444095</v>
      </c>
      <c r="AH9" s="16">
        <f t="shared" si="11"/>
        <v>234.90470515014496</v>
      </c>
      <c r="AI9" s="78">
        <f t="shared" si="12"/>
        <v>160</v>
      </c>
      <c r="AK9" s="33" t="str">
        <f t="shared" si="13"/>
        <v>$I$9</v>
      </c>
      <c r="AL9" s="1">
        <f t="shared" si="14"/>
        <v>3</v>
      </c>
      <c r="AM9" s="1" t="str">
        <f t="shared" si="15"/>
        <v>$J$9</v>
      </c>
      <c r="AN9" s="1" t="str">
        <f t="shared" si="15"/>
        <v>$I$9</v>
      </c>
      <c r="AO9" s="1">
        <f t="shared" si="16"/>
        <v>1</v>
      </c>
      <c r="AP9" s="39" t="str">
        <f t="shared" si="15"/>
        <v>$K$9</v>
      </c>
      <c r="AQ9" s="33" t="str">
        <f t="shared" si="15"/>
        <v>$L$9</v>
      </c>
      <c r="AR9" s="1">
        <f t="shared" si="17"/>
        <v>1</v>
      </c>
      <c r="AS9" s="39" t="str">
        <f t="shared" si="15"/>
        <v>$M$9</v>
      </c>
      <c r="AT9" s="33" t="str">
        <f t="shared" si="15"/>
        <v>$N$9</v>
      </c>
      <c r="AU9" s="1">
        <f t="shared" si="18"/>
        <v>3</v>
      </c>
      <c r="AV9" s="1" t="str">
        <f t="shared" si="15"/>
        <v>$O$9</v>
      </c>
      <c r="AW9" s="1" t="str">
        <f t="shared" si="15"/>
        <v>$N$9</v>
      </c>
      <c r="AX9" s="1">
        <f t="shared" si="19"/>
        <v>1</v>
      </c>
      <c r="AY9" s="39" t="str">
        <f t="shared" si="15"/>
        <v>$P$9</v>
      </c>
      <c r="AZ9" s="33" t="str">
        <f t="shared" si="21"/>
        <v>$Q$9</v>
      </c>
      <c r="BA9" s="1">
        <f t="shared" si="20"/>
        <v>3</v>
      </c>
      <c r="BB9" s="1" t="str">
        <f t="shared" si="21"/>
        <v>$R$9</v>
      </c>
      <c r="BC9" s="1" t="str">
        <f t="shared" si="21"/>
        <v>$Q$9</v>
      </c>
      <c r="BD9" s="1">
        <f t="shared" si="22"/>
        <v>1</v>
      </c>
      <c r="BE9" s="39" t="str">
        <f t="shared" si="21"/>
        <v>$S$9</v>
      </c>
      <c r="BF9" s="33" t="str">
        <f t="shared" si="21"/>
        <v>$D$9</v>
      </c>
      <c r="BG9" s="1">
        <f t="shared" si="23"/>
        <v>3</v>
      </c>
      <c r="BH9" s="1" t="str">
        <f t="shared" si="21"/>
        <v>$U$9</v>
      </c>
      <c r="BI9" s="1" t="str">
        <f t="shared" si="21"/>
        <v>$D$9</v>
      </c>
      <c r="BJ9" s="1">
        <f t="shared" si="24"/>
        <v>1</v>
      </c>
      <c r="BK9" s="39" t="str">
        <f t="shared" si="21"/>
        <v>$V$9</v>
      </c>
      <c r="BL9" s="33" t="str">
        <f t="shared" si="27"/>
        <v>$E$9</v>
      </c>
      <c r="BM9" s="1">
        <f t="shared" si="25"/>
        <v>3</v>
      </c>
      <c r="BN9" s="1" t="str">
        <f t="shared" si="27"/>
        <v>$X$9</v>
      </c>
      <c r="BO9" s="1" t="str">
        <f t="shared" si="27"/>
        <v>$E$9</v>
      </c>
      <c r="BP9" s="1">
        <f t="shared" si="26"/>
        <v>1</v>
      </c>
      <c r="BQ9" s="39" t="str">
        <f t="shared" si="27"/>
        <v>$Y$9</v>
      </c>
      <c r="BR9" s="33" t="str">
        <f t="shared" si="27"/>
        <v>$F$9</v>
      </c>
      <c r="BS9" s="1">
        <f t="shared" si="28"/>
        <v>3</v>
      </c>
      <c r="BT9" s="1" t="str">
        <f t="shared" si="27"/>
        <v>$AA$9</v>
      </c>
      <c r="BU9" s="1" t="str">
        <f t="shared" si="27"/>
        <v>$F$9</v>
      </c>
      <c r="BV9" s="1">
        <f t="shared" si="29"/>
        <v>1</v>
      </c>
      <c r="BW9" s="39" t="str">
        <f t="shared" si="27"/>
        <v>$AB$9</v>
      </c>
      <c r="BX9" s="33" t="str">
        <f t="shared" si="32"/>
        <v>$G$9</v>
      </c>
      <c r="BY9" s="1">
        <f t="shared" si="30"/>
        <v>3</v>
      </c>
      <c r="BZ9" s="1" t="str">
        <f t="shared" si="32"/>
        <v>$AD$9</v>
      </c>
      <c r="CA9" s="1" t="str">
        <f t="shared" si="32"/>
        <v>$G$9</v>
      </c>
      <c r="CB9" s="1">
        <f t="shared" si="31"/>
        <v>1</v>
      </c>
      <c r="CC9" s="39" t="str">
        <f t="shared" si="32"/>
        <v>$AE$9</v>
      </c>
      <c r="CD9" s="33" t="str">
        <f t="shared" si="32"/>
        <v>$AG$9</v>
      </c>
      <c r="CE9" s="1">
        <f t="shared" si="33"/>
        <v>1</v>
      </c>
      <c r="CF9" s="39" t="str">
        <f t="shared" si="32"/>
        <v>$AI$9</v>
      </c>
      <c r="CG9" s="33" t="str">
        <f t="shared" si="32"/>
        <v>$AH$9</v>
      </c>
      <c r="CH9" s="1">
        <f t="shared" si="34"/>
        <v>1</v>
      </c>
      <c r="CI9" s="39" t="str">
        <f t="shared" si="32"/>
        <v>$AI$9</v>
      </c>
    </row>
    <row r="10" spans="1:87" x14ac:dyDescent="0.25">
      <c r="A10">
        <f t="shared" si="2"/>
        <v>10</v>
      </c>
      <c r="C10" s="35" t="s">
        <v>30</v>
      </c>
      <c r="D10" s="89">
        <v>400</v>
      </c>
      <c r="E10" s="90">
        <v>10</v>
      </c>
      <c r="F10" s="90">
        <v>150</v>
      </c>
      <c r="G10" s="91">
        <v>12</v>
      </c>
      <c r="H10" s="35">
        <f>Analiza_okvira_LC_kombinirani!O37</f>
        <v>28300</v>
      </c>
      <c r="I10" s="33">
        <f t="shared" si="3"/>
        <v>12.5</v>
      </c>
      <c r="J10" s="48">
        <v>4</v>
      </c>
      <c r="K10" s="65">
        <v>20</v>
      </c>
      <c r="L10" s="62">
        <f t="shared" si="4"/>
        <v>40</v>
      </c>
      <c r="M10" s="39">
        <v>90</v>
      </c>
      <c r="N10" s="33">
        <f t="shared" si="5"/>
        <v>0.375</v>
      </c>
      <c r="O10" s="1">
        <v>0.2</v>
      </c>
      <c r="P10" s="39">
        <v>0.5</v>
      </c>
      <c r="Q10" s="33">
        <f t="shared" si="35"/>
        <v>1.2</v>
      </c>
      <c r="R10" s="1">
        <v>1</v>
      </c>
      <c r="S10" s="39">
        <v>3</v>
      </c>
      <c r="T10" s="33">
        <f t="shared" si="6"/>
        <v>400</v>
      </c>
      <c r="U10" s="1">
        <v>500</v>
      </c>
      <c r="V10" s="39">
        <v>1500</v>
      </c>
      <c r="W10" s="33">
        <f t="shared" si="7"/>
        <v>10</v>
      </c>
      <c r="X10" s="1">
        <v>5</v>
      </c>
      <c r="Y10" s="39">
        <v>25</v>
      </c>
      <c r="Z10" s="33">
        <f t="shared" si="8"/>
        <v>150</v>
      </c>
      <c r="AA10" s="1">
        <v>50</v>
      </c>
      <c r="AB10" s="39">
        <v>500</v>
      </c>
      <c r="AC10" s="33">
        <f t="shared" si="9"/>
        <v>12</v>
      </c>
      <c r="AD10" s="1">
        <v>5</v>
      </c>
      <c r="AE10" s="39">
        <v>30</v>
      </c>
      <c r="AG10" s="73">
        <f t="shared" si="10"/>
        <v>241.77848414536737</v>
      </c>
      <c r="AH10" s="16">
        <f t="shared" si="11"/>
        <v>70.092876517613306</v>
      </c>
      <c r="AI10" s="78">
        <f t="shared" si="12"/>
        <v>160</v>
      </c>
      <c r="AK10" s="33" t="str">
        <f t="shared" si="13"/>
        <v>$I$10</v>
      </c>
      <c r="AL10" s="1">
        <f t="shared" si="14"/>
        <v>3</v>
      </c>
      <c r="AM10" s="1" t="str">
        <f t="shared" si="15"/>
        <v>$J$10</v>
      </c>
      <c r="AN10" s="1" t="str">
        <f t="shared" si="15"/>
        <v>$I$10</v>
      </c>
      <c r="AO10" s="1">
        <f t="shared" si="16"/>
        <v>1</v>
      </c>
      <c r="AP10" s="39" t="str">
        <f t="shared" si="15"/>
        <v>$K$10</v>
      </c>
      <c r="AQ10" s="33" t="str">
        <f t="shared" si="15"/>
        <v>$L$10</v>
      </c>
      <c r="AR10" s="1">
        <f t="shared" si="17"/>
        <v>1</v>
      </c>
      <c r="AS10" s="39" t="str">
        <f t="shared" si="15"/>
        <v>$M$10</v>
      </c>
      <c r="AT10" s="33" t="str">
        <f t="shared" si="15"/>
        <v>$N$10</v>
      </c>
      <c r="AU10" s="1">
        <f t="shared" si="18"/>
        <v>3</v>
      </c>
      <c r="AV10" s="1" t="str">
        <f t="shared" si="15"/>
        <v>$O$10</v>
      </c>
      <c r="AW10" s="1" t="str">
        <f t="shared" si="15"/>
        <v>$N$10</v>
      </c>
      <c r="AX10" s="1">
        <f t="shared" si="19"/>
        <v>1</v>
      </c>
      <c r="AY10" s="39" t="str">
        <f t="shared" si="15"/>
        <v>$P$10</v>
      </c>
      <c r="AZ10" s="33" t="str">
        <f t="shared" si="21"/>
        <v>$Q$10</v>
      </c>
      <c r="BA10" s="1">
        <f t="shared" si="20"/>
        <v>3</v>
      </c>
      <c r="BB10" s="1" t="str">
        <f t="shared" si="21"/>
        <v>$R$10</v>
      </c>
      <c r="BC10" s="1" t="str">
        <f t="shared" si="21"/>
        <v>$Q$10</v>
      </c>
      <c r="BD10" s="1">
        <f t="shared" si="22"/>
        <v>1</v>
      </c>
      <c r="BE10" s="39" t="str">
        <f t="shared" si="21"/>
        <v>$S$10</v>
      </c>
      <c r="BF10" s="33" t="str">
        <f t="shared" si="21"/>
        <v>$D$10</v>
      </c>
      <c r="BG10" s="1">
        <f t="shared" si="23"/>
        <v>3</v>
      </c>
      <c r="BH10" s="1" t="str">
        <f t="shared" si="21"/>
        <v>$U$10</v>
      </c>
      <c r="BI10" s="1" t="str">
        <f t="shared" si="21"/>
        <v>$D$10</v>
      </c>
      <c r="BJ10" s="1">
        <f t="shared" si="24"/>
        <v>1</v>
      </c>
      <c r="BK10" s="39" t="str">
        <f t="shared" si="21"/>
        <v>$V$10</v>
      </c>
      <c r="BL10" s="33" t="str">
        <f t="shared" si="27"/>
        <v>$E$10</v>
      </c>
      <c r="BM10" s="1">
        <f t="shared" si="25"/>
        <v>3</v>
      </c>
      <c r="BN10" s="1" t="str">
        <f t="shared" si="27"/>
        <v>$X$10</v>
      </c>
      <c r="BO10" s="1" t="str">
        <f t="shared" si="27"/>
        <v>$E$10</v>
      </c>
      <c r="BP10" s="1">
        <f t="shared" si="26"/>
        <v>1</v>
      </c>
      <c r="BQ10" s="39" t="str">
        <f t="shared" si="27"/>
        <v>$Y$10</v>
      </c>
      <c r="BR10" s="33" t="str">
        <f t="shared" si="27"/>
        <v>$F$10</v>
      </c>
      <c r="BS10" s="1">
        <f t="shared" si="28"/>
        <v>3</v>
      </c>
      <c r="BT10" s="1" t="str">
        <f t="shared" si="27"/>
        <v>$AA$10</v>
      </c>
      <c r="BU10" s="1" t="str">
        <f t="shared" si="27"/>
        <v>$F$10</v>
      </c>
      <c r="BV10" s="1">
        <f t="shared" si="29"/>
        <v>1</v>
      </c>
      <c r="BW10" s="39" t="str">
        <f t="shared" si="27"/>
        <v>$AB$10</v>
      </c>
      <c r="BX10" s="33" t="str">
        <f t="shared" si="32"/>
        <v>$G$10</v>
      </c>
      <c r="BY10" s="1">
        <f t="shared" si="30"/>
        <v>3</v>
      </c>
      <c r="BZ10" s="1" t="str">
        <f t="shared" si="32"/>
        <v>$AD$10</v>
      </c>
      <c r="CA10" s="1" t="str">
        <f t="shared" si="32"/>
        <v>$G$10</v>
      </c>
      <c r="CB10" s="1">
        <f t="shared" si="31"/>
        <v>1</v>
      </c>
      <c r="CC10" s="39" t="str">
        <f t="shared" si="32"/>
        <v>$AE$10</v>
      </c>
      <c r="CD10" s="33" t="str">
        <f t="shared" si="32"/>
        <v>$AG$10</v>
      </c>
      <c r="CE10" s="1">
        <f t="shared" si="33"/>
        <v>1</v>
      </c>
      <c r="CF10" s="39" t="str">
        <f t="shared" si="32"/>
        <v>$AI$10</v>
      </c>
      <c r="CG10" s="33" t="str">
        <f t="shared" si="32"/>
        <v>$AH$10</v>
      </c>
      <c r="CH10" s="1">
        <f t="shared" si="34"/>
        <v>1</v>
      </c>
      <c r="CI10" s="39" t="str">
        <f t="shared" si="32"/>
        <v>$AI$10</v>
      </c>
    </row>
    <row r="11" spans="1:87" x14ac:dyDescent="0.25">
      <c r="A11">
        <f t="shared" si="2"/>
        <v>11</v>
      </c>
      <c r="C11" s="35" t="s">
        <v>31</v>
      </c>
      <c r="D11" s="86">
        <v>600</v>
      </c>
      <c r="E11" s="87">
        <v>12</v>
      </c>
      <c r="F11" s="87">
        <v>200</v>
      </c>
      <c r="G11" s="88">
        <v>15</v>
      </c>
      <c r="H11" s="35">
        <f>Analiza_okvira_LC_kombinirani!O38</f>
        <v>37200</v>
      </c>
      <c r="I11" s="33">
        <f t="shared" si="3"/>
        <v>13.333333333333334</v>
      </c>
      <c r="J11" s="48">
        <v>4</v>
      </c>
      <c r="K11" s="65">
        <v>20</v>
      </c>
      <c r="L11" s="62">
        <f t="shared" si="4"/>
        <v>50</v>
      </c>
      <c r="M11" s="39">
        <v>90</v>
      </c>
      <c r="N11" s="33">
        <f t="shared" si="5"/>
        <v>0.33333333333333331</v>
      </c>
      <c r="O11" s="1">
        <v>0.2</v>
      </c>
      <c r="P11" s="39">
        <v>0.5</v>
      </c>
      <c r="Q11" s="33">
        <f t="shared" si="35"/>
        <v>1.25</v>
      </c>
      <c r="R11" s="1">
        <v>1</v>
      </c>
      <c r="S11" s="39">
        <v>3</v>
      </c>
      <c r="T11" s="33">
        <f t="shared" si="6"/>
        <v>600</v>
      </c>
      <c r="U11" s="1">
        <v>200</v>
      </c>
      <c r="V11" s="39">
        <v>1200</v>
      </c>
      <c r="W11" s="33">
        <f t="shared" si="7"/>
        <v>12</v>
      </c>
      <c r="X11" s="1">
        <v>5</v>
      </c>
      <c r="Y11" s="39">
        <v>25</v>
      </c>
      <c r="Z11" s="33">
        <f t="shared" si="8"/>
        <v>200</v>
      </c>
      <c r="AA11" s="1">
        <v>50</v>
      </c>
      <c r="AB11" s="39">
        <v>500</v>
      </c>
      <c r="AC11" s="33">
        <f t="shared" si="9"/>
        <v>15</v>
      </c>
      <c r="AD11" s="1">
        <v>5</v>
      </c>
      <c r="AE11" s="39">
        <v>30</v>
      </c>
      <c r="AG11" s="73">
        <f t="shared" si="10"/>
        <v>238.33767782435768</v>
      </c>
      <c r="AH11" s="16">
        <f t="shared" si="11"/>
        <v>238.21242666814948</v>
      </c>
      <c r="AI11" s="78">
        <f t="shared" si="12"/>
        <v>160</v>
      </c>
      <c r="AK11" s="33" t="str">
        <f t="shared" si="13"/>
        <v>$I$11</v>
      </c>
      <c r="AL11" s="1">
        <f t="shared" si="14"/>
        <v>3</v>
      </c>
      <c r="AM11" s="1" t="str">
        <f t="shared" si="15"/>
        <v>$J$11</v>
      </c>
      <c r="AN11" s="1" t="str">
        <f t="shared" si="15"/>
        <v>$I$11</v>
      </c>
      <c r="AO11" s="1">
        <f t="shared" si="16"/>
        <v>1</v>
      </c>
      <c r="AP11" s="39" t="str">
        <f t="shared" si="15"/>
        <v>$K$11</v>
      </c>
      <c r="AQ11" s="33" t="str">
        <f t="shared" si="15"/>
        <v>$L$11</v>
      </c>
      <c r="AR11" s="1">
        <f t="shared" si="17"/>
        <v>1</v>
      </c>
      <c r="AS11" s="39" t="str">
        <f t="shared" si="15"/>
        <v>$M$11</v>
      </c>
      <c r="AT11" s="33" t="str">
        <f t="shared" si="15"/>
        <v>$N$11</v>
      </c>
      <c r="AU11" s="1">
        <f t="shared" si="18"/>
        <v>3</v>
      </c>
      <c r="AV11" s="1" t="str">
        <f t="shared" si="15"/>
        <v>$O$11</v>
      </c>
      <c r="AW11" s="1" t="str">
        <f t="shared" si="15"/>
        <v>$N$11</v>
      </c>
      <c r="AX11" s="1">
        <f t="shared" si="19"/>
        <v>1</v>
      </c>
      <c r="AY11" s="39" t="str">
        <f t="shared" si="15"/>
        <v>$P$11</v>
      </c>
      <c r="AZ11" s="33" t="str">
        <f t="shared" si="21"/>
        <v>$Q$11</v>
      </c>
      <c r="BA11" s="1">
        <f t="shared" si="20"/>
        <v>3</v>
      </c>
      <c r="BB11" s="1" t="str">
        <f t="shared" si="21"/>
        <v>$R$11</v>
      </c>
      <c r="BC11" s="1" t="str">
        <f t="shared" si="21"/>
        <v>$Q$11</v>
      </c>
      <c r="BD11" s="1">
        <f t="shared" si="22"/>
        <v>1</v>
      </c>
      <c r="BE11" s="39" t="str">
        <f t="shared" si="21"/>
        <v>$S$11</v>
      </c>
      <c r="BF11" s="33" t="str">
        <f t="shared" si="21"/>
        <v>$D$11</v>
      </c>
      <c r="BG11" s="1">
        <f t="shared" si="23"/>
        <v>3</v>
      </c>
      <c r="BH11" s="1" t="str">
        <f t="shared" si="21"/>
        <v>$U$11</v>
      </c>
      <c r="BI11" s="1" t="str">
        <f t="shared" si="21"/>
        <v>$D$11</v>
      </c>
      <c r="BJ11" s="1">
        <f t="shared" si="24"/>
        <v>1</v>
      </c>
      <c r="BK11" s="39" t="str">
        <f t="shared" si="21"/>
        <v>$V$11</v>
      </c>
      <c r="BL11" s="33" t="str">
        <f t="shared" si="27"/>
        <v>$E$11</v>
      </c>
      <c r="BM11" s="1">
        <f t="shared" si="25"/>
        <v>3</v>
      </c>
      <c r="BN11" s="1" t="str">
        <f t="shared" si="27"/>
        <v>$X$11</v>
      </c>
      <c r="BO11" s="1" t="str">
        <f t="shared" si="27"/>
        <v>$E$11</v>
      </c>
      <c r="BP11" s="1">
        <f t="shared" si="26"/>
        <v>1</v>
      </c>
      <c r="BQ11" s="39" t="str">
        <f t="shared" si="27"/>
        <v>$Y$11</v>
      </c>
      <c r="BR11" s="33" t="str">
        <f t="shared" si="27"/>
        <v>$F$11</v>
      </c>
      <c r="BS11" s="1">
        <f t="shared" si="28"/>
        <v>3</v>
      </c>
      <c r="BT11" s="1" t="str">
        <f t="shared" si="27"/>
        <v>$AA$11</v>
      </c>
      <c r="BU11" s="1" t="str">
        <f t="shared" si="27"/>
        <v>$F$11</v>
      </c>
      <c r="BV11" s="1">
        <f t="shared" si="29"/>
        <v>1</v>
      </c>
      <c r="BW11" s="39" t="str">
        <f t="shared" si="27"/>
        <v>$AB$11</v>
      </c>
      <c r="BX11" s="33" t="str">
        <f t="shared" si="32"/>
        <v>$G$11</v>
      </c>
      <c r="BY11" s="1">
        <f t="shared" si="30"/>
        <v>3</v>
      </c>
      <c r="BZ11" s="1" t="str">
        <f t="shared" si="32"/>
        <v>$AD$11</v>
      </c>
      <c r="CA11" s="1" t="str">
        <f t="shared" si="32"/>
        <v>$G$11</v>
      </c>
      <c r="CB11" s="1">
        <f t="shared" si="31"/>
        <v>1</v>
      </c>
      <c r="CC11" s="39" t="str">
        <f t="shared" si="32"/>
        <v>$AE$11</v>
      </c>
      <c r="CD11" s="33" t="str">
        <f t="shared" si="32"/>
        <v>$AG$11</v>
      </c>
      <c r="CE11" s="1">
        <f t="shared" si="33"/>
        <v>1</v>
      </c>
      <c r="CF11" s="39" t="str">
        <f t="shared" si="32"/>
        <v>$AI$11</v>
      </c>
      <c r="CG11" s="33" t="str">
        <f t="shared" si="32"/>
        <v>$AH$11</v>
      </c>
      <c r="CH11" s="1">
        <f t="shared" si="34"/>
        <v>1</v>
      </c>
      <c r="CI11" s="39" t="str">
        <f t="shared" si="32"/>
        <v>$AI$11</v>
      </c>
    </row>
    <row r="12" spans="1:87" x14ac:dyDescent="0.25">
      <c r="A12">
        <f t="shared" si="2"/>
        <v>12</v>
      </c>
      <c r="C12" s="35" t="s">
        <v>32</v>
      </c>
      <c r="D12" s="86">
        <v>600</v>
      </c>
      <c r="E12" s="87">
        <v>12</v>
      </c>
      <c r="F12" s="87">
        <v>200</v>
      </c>
      <c r="G12" s="88">
        <v>15</v>
      </c>
      <c r="H12" s="35">
        <f>Analiza_okvira_LC_kombinirani!O39</f>
        <v>37200</v>
      </c>
      <c r="I12" s="33">
        <f t="shared" si="3"/>
        <v>13.333333333333334</v>
      </c>
      <c r="J12" s="48">
        <v>4</v>
      </c>
      <c r="K12" s="65">
        <v>20</v>
      </c>
      <c r="L12" s="62">
        <f t="shared" si="4"/>
        <v>50</v>
      </c>
      <c r="M12" s="39">
        <v>90</v>
      </c>
      <c r="N12" s="33">
        <f t="shared" si="5"/>
        <v>0.33333333333333331</v>
      </c>
      <c r="O12" s="1">
        <v>0.2</v>
      </c>
      <c r="P12" s="39">
        <v>0.5</v>
      </c>
      <c r="Q12" s="33">
        <f t="shared" si="35"/>
        <v>1.25</v>
      </c>
      <c r="R12" s="1">
        <v>1</v>
      </c>
      <c r="S12" s="39">
        <v>3</v>
      </c>
      <c r="T12" s="33">
        <f t="shared" si="6"/>
        <v>600</v>
      </c>
      <c r="U12" s="1">
        <v>200</v>
      </c>
      <c r="V12" s="39">
        <v>1200</v>
      </c>
      <c r="W12" s="33">
        <f t="shared" si="7"/>
        <v>12</v>
      </c>
      <c r="X12" s="1">
        <v>5</v>
      </c>
      <c r="Y12" s="39">
        <v>25</v>
      </c>
      <c r="Z12" s="33">
        <f t="shared" si="8"/>
        <v>200</v>
      </c>
      <c r="AA12" s="1">
        <v>50</v>
      </c>
      <c r="AB12" s="39">
        <v>500</v>
      </c>
      <c r="AC12" s="33">
        <f t="shared" si="9"/>
        <v>15</v>
      </c>
      <c r="AD12" s="1">
        <v>5</v>
      </c>
      <c r="AE12" s="39">
        <v>30</v>
      </c>
      <c r="AG12" s="73">
        <f t="shared" si="10"/>
        <v>198.20702538452269</v>
      </c>
      <c r="AH12" s="16">
        <f t="shared" si="11"/>
        <v>83.608076083950266</v>
      </c>
      <c r="AI12" s="78">
        <f t="shared" si="12"/>
        <v>160</v>
      </c>
      <c r="AK12" s="33" t="str">
        <f t="shared" si="13"/>
        <v>$I$12</v>
      </c>
      <c r="AL12" s="1">
        <f t="shared" si="14"/>
        <v>3</v>
      </c>
      <c r="AM12" s="1" t="str">
        <f t="shared" si="15"/>
        <v>$J$12</v>
      </c>
      <c r="AN12" s="1" t="str">
        <f t="shared" si="15"/>
        <v>$I$12</v>
      </c>
      <c r="AO12" s="1">
        <f t="shared" si="16"/>
        <v>1</v>
      </c>
      <c r="AP12" s="39" t="str">
        <f t="shared" si="15"/>
        <v>$K$12</v>
      </c>
      <c r="AQ12" s="33" t="str">
        <f t="shared" si="15"/>
        <v>$L$12</v>
      </c>
      <c r="AR12" s="1">
        <f t="shared" si="17"/>
        <v>1</v>
      </c>
      <c r="AS12" s="39" t="str">
        <f t="shared" si="15"/>
        <v>$M$12</v>
      </c>
      <c r="AT12" s="33" t="str">
        <f t="shared" si="15"/>
        <v>$N$12</v>
      </c>
      <c r="AU12" s="1">
        <f t="shared" si="18"/>
        <v>3</v>
      </c>
      <c r="AV12" s="1" t="str">
        <f t="shared" si="15"/>
        <v>$O$12</v>
      </c>
      <c r="AW12" s="1" t="str">
        <f t="shared" si="15"/>
        <v>$N$12</v>
      </c>
      <c r="AX12" s="1">
        <f t="shared" si="19"/>
        <v>1</v>
      </c>
      <c r="AY12" s="39" t="str">
        <f t="shared" si="15"/>
        <v>$P$12</v>
      </c>
      <c r="AZ12" s="33" t="str">
        <f t="shared" si="21"/>
        <v>$Q$12</v>
      </c>
      <c r="BA12" s="1">
        <f t="shared" si="20"/>
        <v>3</v>
      </c>
      <c r="BB12" s="1" t="str">
        <f t="shared" si="21"/>
        <v>$R$12</v>
      </c>
      <c r="BC12" s="1" t="str">
        <f t="shared" si="21"/>
        <v>$Q$12</v>
      </c>
      <c r="BD12" s="1">
        <f t="shared" si="22"/>
        <v>1</v>
      </c>
      <c r="BE12" s="39" t="str">
        <f t="shared" si="21"/>
        <v>$S$12</v>
      </c>
      <c r="BF12" s="33" t="str">
        <f t="shared" si="21"/>
        <v>$D$12</v>
      </c>
      <c r="BG12" s="1">
        <f t="shared" si="23"/>
        <v>3</v>
      </c>
      <c r="BH12" s="1" t="str">
        <f t="shared" si="21"/>
        <v>$U$12</v>
      </c>
      <c r="BI12" s="1" t="str">
        <f t="shared" si="21"/>
        <v>$D$12</v>
      </c>
      <c r="BJ12" s="1">
        <f t="shared" si="24"/>
        <v>1</v>
      </c>
      <c r="BK12" s="39" t="str">
        <f t="shared" si="21"/>
        <v>$V$12</v>
      </c>
      <c r="BL12" s="33" t="str">
        <f t="shared" si="27"/>
        <v>$E$12</v>
      </c>
      <c r="BM12" s="1">
        <f t="shared" si="25"/>
        <v>3</v>
      </c>
      <c r="BN12" s="1" t="str">
        <f t="shared" si="27"/>
        <v>$X$12</v>
      </c>
      <c r="BO12" s="1" t="str">
        <f t="shared" si="27"/>
        <v>$E$12</v>
      </c>
      <c r="BP12" s="1">
        <f t="shared" si="26"/>
        <v>1</v>
      </c>
      <c r="BQ12" s="39" t="str">
        <f t="shared" si="27"/>
        <v>$Y$12</v>
      </c>
      <c r="BR12" s="33" t="str">
        <f t="shared" si="27"/>
        <v>$F$12</v>
      </c>
      <c r="BS12" s="1">
        <f t="shared" si="28"/>
        <v>3</v>
      </c>
      <c r="BT12" s="1" t="str">
        <f t="shared" si="27"/>
        <v>$AA$12</v>
      </c>
      <c r="BU12" s="1" t="str">
        <f t="shared" si="27"/>
        <v>$F$12</v>
      </c>
      <c r="BV12" s="1">
        <f t="shared" si="29"/>
        <v>1</v>
      </c>
      <c r="BW12" s="39" t="str">
        <f t="shared" si="27"/>
        <v>$AB$12</v>
      </c>
      <c r="BX12" s="33" t="str">
        <f t="shared" si="32"/>
        <v>$G$12</v>
      </c>
      <c r="BY12" s="1">
        <f t="shared" si="30"/>
        <v>3</v>
      </c>
      <c r="BZ12" s="1" t="str">
        <f t="shared" si="32"/>
        <v>$AD$12</v>
      </c>
      <c r="CA12" s="1" t="str">
        <f t="shared" si="32"/>
        <v>$G$12</v>
      </c>
      <c r="CB12" s="1">
        <f t="shared" si="31"/>
        <v>1</v>
      </c>
      <c r="CC12" s="39" t="str">
        <f t="shared" si="32"/>
        <v>$AE$12</v>
      </c>
      <c r="CD12" s="33" t="str">
        <f t="shared" si="32"/>
        <v>$AG$12</v>
      </c>
      <c r="CE12" s="1">
        <f t="shared" si="33"/>
        <v>1</v>
      </c>
      <c r="CF12" s="39" t="str">
        <f t="shared" si="32"/>
        <v>$AI$12</v>
      </c>
      <c r="CG12" s="33" t="str">
        <f t="shared" si="32"/>
        <v>$AH$12</v>
      </c>
      <c r="CH12" s="1">
        <f t="shared" si="34"/>
        <v>1</v>
      </c>
      <c r="CI12" s="39" t="str">
        <f t="shared" si="32"/>
        <v>$AI$12</v>
      </c>
    </row>
    <row r="13" spans="1:87" ht="15.75" thickBot="1" x14ac:dyDescent="0.3">
      <c r="A13">
        <f t="shared" si="2"/>
        <v>13</v>
      </c>
      <c r="C13" s="36" t="s">
        <v>33</v>
      </c>
      <c r="D13" s="89">
        <v>400</v>
      </c>
      <c r="E13" s="90">
        <v>10</v>
      </c>
      <c r="F13" s="90">
        <v>150</v>
      </c>
      <c r="G13" s="91">
        <v>12</v>
      </c>
      <c r="H13" s="36">
        <f>Analiza_okvira_LC_kombinirani!O40</f>
        <v>28300</v>
      </c>
      <c r="I13" s="34">
        <f t="shared" si="3"/>
        <v>12.5</v>
      </c>
      <c r="J13" s="50">
        <v>4</v>
      </c>
      <c r="K13" s="66">
        <v>20</v>
      </c>
      <c r="L13" s="63">
        <f t="shared" si="4"/>
        <v>40</v>
      </c>
      <c r="M13" s="41">
        <v>90</v>
      </c>
      <c r="N13" s="34">
        <f t="shared" si="5"/>
        <v>0.375</v>
      </c>
      <c r="O13" s="40">
        <v>0.2</v>
      </c>
      <c r="P13" s="41">
        <v>0.5</v>
      </c>
      <c r="Q13" s="34">
        <f t="shared" si="35"/>
        <v>1.2</v>
      </c>
      <c r="R13" s="40">
        <v>1</v>
      </c>
      <c r="S13" s="41">
        <v>3</v>
      </c>
      <c r="T13" s="34">
        <f t="shared" si="6"/>
        <v>400</v>
      </c>
      <c r="U13" s="40">
        <v>200</v>
      </c>
      <c r="V13" s="41">
        <v>1200</v>
      </c>
      <c r="W13" s="34">
        <f t="shared" si="7"/>
        <v>10</v>
      </c>
      <c r="X13" s="40">
        <v>5</v>
      </c>
      <c r="Y13" s="41">
        <v>25</v>
      </c>
      <c r="Z13" s="34">
        <f t="shared" si="8"/>
        <v>150</v>
      </c>
      <c r="AA13" s="40">
        <v>50</v>
      </c>
      <c r="AB13" s="41">
        <v>500</v>
      </c>
      <c r="AC13" s="34">
        <f t="shared" si="9"/>
        <v>12</v>
      </c>
      <c r="AD13" s="40">
        <v>5</v>
      </c>
      <c r="AE13" s="41">
        <v>30</v>
      </c>
      <c r="AG13" s="74">
        <f t="shared" si="10"/>
        <v>107.44862633729329</v>
      </c>
      <c r="AH13" s="75">
        <f t="shared" si="11"/>
        <v>0</v>
      </c>
      <c r="AI13" s="79">
        <f t="shared" si="12"/>
        <v>160</v>
      </c>
      <c r="AK13" s="34" t="str">
        <f t="shared" si="13"/>
        <v>$I$13</v>
      </c>
      <c r="AL13" s="40">
        <f t="shared" si="14"/>
        <v>3</v>
      </c>
      <c r="AM13" s="40" t="str">
        <f t="shared" si="15"/>
        <v>$J$13</v>
      </c>
      <c r="AN13" s="40" t="str">
        <f t="shared" si="15"/>
        <v>$I$13</v>
      </c>
      <c r="AO13" s="40">
        <f t="shared" si="16"/>
        <v>1</v>
      </c>
      <c r="AP13" s="41" t="str">
        <f t="shared" si="15"/>
        <v>$K$13</v>
      </c>
      <c r="AQ13" s="34" t="str">
        <f t="shared" si="15"/>
        <v>$L$13</v>
      </c>
      <c r="AR13" s="40">
        <f t="shared" si="17"/>
        <v>1</v>
      </c>
      <c r="AS13" s="41" t="str">
        <f t="shared" si="15"/>
        <v>$M$13</v>
      </c>
      <c r="AT13" s="34" t="str">
        <f t="shared" si="15"/>
        <v>$N$13</v>
      </c>
      <c r="AU13" s="40">
        <f t="shared" si="18"/>
        <v>3</v>
      </c>
      <c r="AV13" s="40" t="str">
        <f t="shared" si="15"/>
        <v>$O$13</v>
      </c>
      <c r="AW13" s="40" t="str">
        <f t="shared" si="15"/>
        <v>$N$13</v>
      </c>
      <c r="AX13" s="40">
        <f t="shared" si="19"/>
        <v>1</v>
      </c>
      <c r="AY13" s="41" t="str">
        <f t="shared" si="15"/>
        <v>$P$13</v>
      </c>
      <c r="AZ13" s="34" t="str">
        <f t="shared" si="21"/>
        <v>$Q$13</v>
      </c>
      <c r="BA13" s="40">
        <f t="shared" si="20"/>
        <v>3</v>
      </c>
      <c r="BB13" s="40" t="str">
        <f t="shared" si="21"/>
        <v>$R$13</v>
      </c>
      <c r="BC13" s="40" t="str">
        <f t="shared" si="21"/>
        <v>$Q$13</v>
      </c>
      <c r="BD13" s="40">
        <f t="shared" si="22"/>
        <v>1</v>
      </c>
      <c r="BE13" s="41" t="str">
        <f t="shared" si="21"/>
        <v>$S$13</v>
      </c>
      <c r="BF13" s="34" t="str">
        <f t="shared" si="21"/>
        <v>$D$13</v>
      </c>
      <c r="BG13" s="40">
        <f t="shared" si="23"/>
        <v>3</v>
      </c>
      <c r="BH13" s="40" t="str">
        <f t="shared" si="21"/>
        <v>$U$13</v>
      </c>
      <c r="BI13" s="40" t="str">
        <f t="shared" si="21"/>
        <v>$D$13</v>
      </c>
      <c r="BJ13" s="40">
        <f t="shared" si="24"/>
        <v>1</v>
      </c>
      <c r="BK13" s="41" t="str">
        <f t="shared" si="21"/>
        <v>$V$13</v>
      </c>
      <c r="BL13" s="34" t="str">
        <f t="shared" si="27"/>
        <v>$E$13</v>
      </c>
      <c r="BM13" s="40">
        <f t="shared" si="25"/>
        <v>3</v>
      </c>
      <c r="BN13" s="40" t="str">
        <f t="shared" si="27"/>
        <v>$X$13</v>
      </c>
      <c r="BO13" s="40" t="str">
        <f t="shared" si="27"/>
        <v>$E$13</v>
      </c>
      <c r="BP13" s="40">
        <f t="shared" si="26"/>
        <v>1</v>
      </c>
      <c r="BQ13" s="41" t="str">
        <f t="shared" si="27"/>
        <v>$Y$13</v>
      </c>
      <c r="BR13" s="34" t="str">
        <f t="shared" si="27"/>
        <v>$F$13</v>
      </c>
      <c r="BS13" s="40">
        <f t="shared" si="28"/>
        <v>3</v>
      </c>
      <c r="BT13" s="40" t="str">
        <f t="shared" si="27"/>
        <v>$AA$13</v>
      </c>
      <c r="BU13" s="40" t="str">
        <f t="shared" si="27"/>
        <v>$F$13</v>
      </c>
      <c r="BV13" s="40">
        <f t="shared" si="29"/>
        <v>1</v>
      </c>
      <c r="BW13" s="41" t="str">
        <f t="shared" si="27"/>
        <v>$AB$13</v>
      </c>
      <c r="BX13" s="34" t="str">
        <f t="shared" si="32"/>
        <v>$G$13</v>
      </c>
      <c r="BY13" s="40">
        <f t="shared" si="30"/>
        <v>3</v>
      </c>
      <c r="BZ13" s="40" t="str">
        <f t="shared" si="32"/>
        <v>$AD$13</v>
      </c>
      <c r="CA13" s="40" t="str">
        <f t="shared" si="32"/>
        <v>$G$13</v>
      </c>
      <c r="CB13" s="40">
        <f t="shared" si="31"/>
        <v>1</v>
      </c>
      <c r="CC13" s="41" t="str">
        <f t="shared" si="32"/>
        <v>$AE$13</v>
      </c>
      <c r="CD13" s="34" t="str">
        <f t="shared" si="32"/>
        <v>$AG$13</v>
      </c>
      <c r="CE13" s="40">
        <f t="shared" si="33"/>
        <v>1</v>
      </c>
      <c r="CF13" s="41" t="str">
        <f t="shared" si="32"/>
        <v>$AI$13</v>
      </c>
      <c r="CG13" s="34" t="str">
        <f t="shared" si="32"/>
        <v>$AH$13</v>
      </c>
      <c r="CH13" s="40">
        <f t="shared" si="34"/>
        <v>1</v>
      </c>
      <c r="CI13" s="41" t="str">
        <f t="shared" si="32"/>
        <v>$AI$13</v>
      </c>
    </row>
    <row r="14" spans="1:87" ht="15.75" thickBot="1" x14ac:dyDescent="0.3">
      <c r="A14">
        <f t="shared" si="2"/>
        <v>14</v>
      </c>
    </row>
    <row r="15" spans="1:87" ht="15.75" thickBot="1" x14ac:dyDescent="0.3">
      <c r="A15">
        <f t="shared" si="2"/>
        <v>15</v>
      </c>
      <c r="C15" s="58" t="s">
        <v>142</v>
      </c>
      <c r="D15" s="59"/>
      <c r="E15" s="59"/>
      <c r="F15" s="59"/>
      <c r="G15" s="59"/>
      <c r="H15" s="92">
        <f>SUM(H4:H13)</f>
        <v>318400</v>
      </c>
      <c r="AK15" s="98">
        <v>1</v>
      </c>
      <c r="AL15" s="99"/>
      <c r="AM15" s="99"/>
      <c r="AN15" s="98">
        <f>AK15+1</f>
        <v>2</v>
      </c>
      <c r="AO15" s="99"/>
      <c r="AP15" s="99"/>
      <c r="AQ15" s="98">
        <f>AN15+1</f>
        <v>3</v>
      </c>
      <c r="AR15" s="99"/>
      <c r="AS15" s="99"/>
      <c r="AT15" s="98">
        <f>AQ15+1</f>
        <v>4</v>
      </c>
      <c r="AU15" s="99"/>
      <c r="AV15" s="99"/>
      <c r="AW15" s="98">
        <f>AT15+1</f>
        <v>5</v>
      </c>
      <c r="AX15" s="99"/>
      <c r="AY15" s="99"/>
      <c r="AZ15" s="98">
        <f>AW15+1</f>
        <v>6</v>
      </c>
      <c r="BA15" s="99"/>
      <c r="BB15" s="99"/>
      <c r="BC15" s="98">
        <f>AZ15+1</f>
        <v>7</v>
      </c>
      <c r="BD15" s="99"/>
      <c r="BE15" s="99"/>
      <c r="BF15" s="98">
        <f>BC15+1</f>
        <v>8</v>
      </c>
      <c r="BG15" s="99"/>
      <c r="BH15" s="99"/>
      <c r="BI15" s="98">
        <f>BF15+1</f>
        <v>9</v>
      </c>
      <c r="BJ15" s="99"/>
      <c r="BK15" s="99"/>
      <c r="BL15" s="98">
        <f>BI15+1</f>
        <v>10</v>
      </c>
      <c r="BM15" s="99"/>
      <c r="BN15" s="99"/>
      <c r="BO15" s="98">
        <f>BL15+1</f>
        <v>11</v>
      </c>
      <c r="BP15" s="99"/>
      <c r="BQ15" s="99"/>
      <c r="BR15" s="98">
        <f>BO15+1</f>
        <v>12</v>
      </c>
      <c r="BS15" s="99"/>
      <c r="BT15" s="99"/>
      <c r="BU15" s="98">
        <f>BR15+1</f>
        <v>13</v>
      </c>
      <c r="BV15" s="99"/>
      <c r="BW15" s="99"/>
      <c r="BX15" s="98">
        <f>BU15+1</f>
        <v>14</v>
      </c>
      <c r="BY15" s="99"/>
      <c r="BZ15" s="99"/>
      <c r="CA15" s="98">
        <f>BX15+1</f>
        <v>15</v>
      </c>
      <c r="CB15" s="99"/>
      <c r="CC15" s="99"/>
      <c r="CD15" s="98">
        <f>CA15+1</f>
        <v>16</v>
      </c>
      <c r="CE15" s="99"/>
      <c r="CF15" s="99"/>
      <c r="CG15" s="98">
        <f>CD15+1</f>
        <v>17</v>
      </c>
      <c r="CH15" s="99"/>
      <c r="CI15" s="99"/>
    </row>
    <row r="16" spans="1:87" ht="15.75" thickBot="1" x14ac:dyDescent="0.3">
      <c r="A16">
        <f t="shared" si="2"/>
        <v>16</v>
      </c>
    </row>
    <row r="17" spans="1:13" ht="15.75" thickBot="1" x14ac:dyDescent="0.3">
      <c r="A17">
        <f t="shared" si="2"/>
        <v>17</v>
      </c>
      <c r="C17" s="46"/>
      <c r="D17" s="37" t="s">
        <v>139</v>
      </c>
      <c r="E17" s="37" t="s">
        <v>140</v>
      </c>
      <c r="F17" s="42"/>
      <c r="G17" s="46" t="s">
        <v>139</v>
      </c>
      <c r="H17" s="38" t="s">
        <v>140</v>
      </c>
      <c r="K17" s="82" t="s">
        <v>149</v>
      </c>
      <c r="L17" s="83" t="s">
        <v>150</v>
      </c>
      <c r="M17" s="84" t="s">
        <v>143</v>
      </c>
    </row>
    <row r="18" spans="1:13" x14ac:dyDescent="0.25">
      <c r="A18">
        <f t="shared" si="2"/>
        <v>18</v>
      </c>
      <c r="C18" s="30" t="str">
        <f>Analiza_okvira_LC_kombinirani!C92</f>
        <v>M 1_1'</v>
      </c>
      <c r="D18" s="31">
        <f>Analiza_okvira_LC_kombinirani!H92</f>
        <v>-463.22528711054275</v>
      </c>
      <c r="E18" s="31">
        <f>Analiza_okvira_LC_kombinirani!J92</f>
        <v>387.07155917884478</v>
      </c>
      <c r="F18" s="43"/>
      <c r="G18" s="30"/>
      <c r="H18" s="32"/>
      <c r="K18" s="30">
        <f>MAX(ABS(D18),ABS(G18))</f>
        <v>463.22528711054275</v>
      </c>
      <c r="L18" s="31">
        <f>MAX(ABS(E18),ABS(H18))</f>
        <v>387.07155917884478</v>
      </c>
      <c r="M18" s="32">
        <v>160</v>
      </c>
    </row>
    <row r="19" spans="1:13" x14ac:dyDescent="0.25">
      <c r="A19">
        <f t="shared" si="2"/>
        <v>19</v>
      </c>
      <c r="C19" s="33" t="str">
        <f>Analiza_okvira_LC_kombinirani!C93</f>
        <v>M 1_2</v>
      </c>
      <c r="D19" s="1">
        <f>Analiza_okvira_LC_kombinirani!H93</f>
        <v>-1162.0903326665152</v>
      </c>
      <c r="E19" s="1">
        <f>Analiza_okvira_LC_kombinirani!J93</f>
        <v>0</v>
      </c>
      <c r="F19" s="44" t="str">
        <f>Analiza_okvira_LC_kombinirani!C94</f>
        <v>M 2_1</v>
      </c>
      <c r="G19" s="33">
        <f>Analiza_okvira_LC_kombinirani!H94</f>
        <v>964.88513274125478</v>
      </c>
      <c r="H19" s="39">
        <f>Analiza_okvira_LC_kombinirani!J94</f>
        <v>0</v>
      </c>
      <c r="K19" s="33">
        <f t="shared" ref="K19:K27" si="36">MAX(ABS(D19),ABS(G19))</f>
        <v>1162.0903326665152</v>
      </c>
      <c r="L19" s="1">
        <f t="shared" ref="L19:L27" si="37">MAX(ABS(E19),ABS(H19))</f>
        <v>0</v>
      </c>
      <c r="M19" s="39">
        <v>160</v>
      </c>
    </row>
    <row r="20" spans="1:13" x14ac:dyDescent="0.25">
      <c r="A20">
        <f t="shared" si="2"/>
        <v>20</v>
      </c>
      <c r="C20" s="33" t="str">
        <f>Analiza_okvira_LC_kombinirani!C95</f>
        <v>M 2_2'</v>
      </c>
      <c r="D20" s="1">
        <f>Analiza_okvira_LC_kombinirani!H95</f>
        <v>-650.04906781570207</v>
      </c>
      <c r="E20" s="1">
        <f>Analiza_okvira_LC_kombinirani!J95</f>
        <v>412.82199004603228</v>
      </c>
      <c r="F20" s="44"/>
      <c r="G20" s="33"/>
      <c r="H20" s="39"/>
      <c r="K20" s="33">
        <f t="shared" si="36"/>
        <v>650.04906781570207</v>
      </c>
      <c r="L20" s="1">
        <f t="shared" si="37"/>
        <v>412.82199004603228</v>
      </c>
      <c r="M20" s="39">
        <v>160</v>
      </c>
    </row>
    <row r="21" spans="1:13" x14ac:dyDescent="0.25">
      <c r="A21">
        <f t="shared" si="2"/>
        <v>21</v>
      </c>
      <c r="C21" s="33" t="str">
        <f>Analiza_okvira_LC_kombinirani!C96</f>
        <v>M 2_3</v>
      </c>
      <c r="D21" s="1">
        <f>Analiza_okvira_LC_kombinirani!H96</f>
        <v>-665.88883078642516</v>
      </c>
      <c r="E21" s="1">
        <f>Analiza_okvira_LC_kombinirani!J96</f>
        <v>0</v>
      </c>
      <c r="F21" s="44" t="str">
        <f>Analiza_okvira_LC_kombinirani!C97</f>
        <v>M 3_2</v>
      </c>
      <c r="G21" s="33">
        <f>Analiza_okvira_LC_kombinirani!H97</f>
        <v>564.0977287568561</v>
      </c>
      <c r="H21" s="39">
        <f>Analiza_okvira_LC_kombinirani!J97</f>
        <v>0</v>
      </c>
      <c r="K21" s="33">
        <f t="shared" si="36"/>
        <v>665.88883078642516</v>
      </c>
      <c r="L21" s="1">
        <f t="shared" si="37"/>
        <v>0</v>
      </c>
      <c r="M21" s="39">
        <v>160</v>
      </c>
    </row>
    <row r="22" spans="1:13" x14ac:dyDescent="0.25">
      <c r="A22">
        <f t="shared" si="2"/>
        <v>22</v>
      </c>
      <c r="C22" s="33" t="str">
        <f>Analiza_okvira_LC_kombinirani!C99</f>
        <v>M 3_5</v>
      </c>
      <c r="D22" s="1">
        <f>Analiza_okvira_LC_kombinirani!H99</f>
        <v>-321.23340983365335</v>
      </c>
      <c r="E22" s="1">
        <f>Analiza_okvira_LC_kombinirani!J99</f>
        <v>446.39568751093253</v>
      </c>
      <c r="F22" s="44" t="str">
        <f>Analiza_okvira_LC_kombinirani!C102</f>
        <v>M 5_3</v>
      </c>
      <c r="G22" s="33">
        <f>Analiza_okvira_LC_kombinirani!H102</f>
        <v>-575.55490148068372</v>
      </c>
      <c r="H22" s="39">
        <f>Analiza_okvira_LC_kombinirani!J102</f>
        <v>-192.07419586390225</v>
      </c>
      <c r="K22" s="33">
        <f t="shared" si="36"/>
        <v>575.55490148068372</v>
      </c>
      <c r="L22" s="1">
        <f t="shared" si="37"/>
        <v>446.39568751093253</v>
      </c>
      <c r="M22" s="39">
        <v>160</v>
      </c>
    </row>
    <row r="23" spans="1:13" x14ac:dyDescent="0.25">
      <c r="A23">
        <f t="shared" si="2"/>
        <v>23</v>
      </c>
      <c r="C23" s="33" t="str">
        <f>Analiza_okvira_LC_kombinirani!C103</f>
        <v>M 5_5'</v>
      </c>
      <c r="D23" s="1">
        <f>Analiza_okvira_LC_kombinirani!H103</f>
        <v>-532.72439219444095</v>
      </c>
      <c r="E23" s="1">
        <f>Analiza_okvira_LC_kombinirani!J103</f>
        <v>234.90470515014496</v>
      </c>
      <c r="F23" s="44"/>
      <c r="G23" s="33"/>
      <c r="H23" s="39"/>
      <c r="K23" s="33">
        <f t="shared" si="36"/>
        <v>532.72439219444095</v>
      </c>
      <c r="L23" s="1">
        <f t="shared" si="37"/>
        <v>234.90470515014496</v>
      </c>
      <c r="M23" s="39">
        <v>160</v>
      </c>
    </row>
    <row r="24" spans="1:13" x14ac:dyDescent="0.25">
      <c r="A24">
        <f t="shared" si="2"/>
        <v>24</v>
      </c>
      <c r="C24" s="33" t="str">
        <f>Analiza_okvira_LC_kombinirani!C98</f>
        <v>M 3_4</v>
      </c>
      <c r="D24" s="1">
        <f>Analiza_okvira_LC_kombinirani!H98</f>
        <v>-241.77848414536737</v>
      </c>
      <c r="E24" s="1">
        <f>Analiza_okvira_LC_kombinirani!J98</f>
        <v>70.092876517613306</v>
      </c>
      <c r="F24" s="44" t="str">
        <f>Analiza_okvira_LC_kombinirani!C100</f>
        <v>M 4_3</v>
      </c>
      <c r="G24" s="33">
        <f>Analiza_okvira_LC_kombinirani!H100</f>
        <v>-142.05840466086019</v>
      </c>
      <c r="H24" s="39">
        <f>Analiza_okvira_LC_kombinirani!J100</f>
        <v>29.627202966893901</v>
      </c>
      <c r="K24" s="33">
        <f t="shared" si="36"/>
        <v>241.77848414536737</v>
      </c>
      <c r="L24" s="1">
        <f t="shared" si="37"/>
        <v>70.092876517613306</v>
      </c>
      <c r="M24" s="39">
        <v>160</v>
      </c>
    </row>
    <row r="25" spans="1:13" x14ac:dyDescent="0.25">
      <c r="A25">
        <f t="shared" si="2"/>
        <v>25</v>
      </c>
      <c r="C25" s="33" t="str">
        <f>Analiza_okvira_LC_kombinirani!C101</f>
        <v>M 4_6</v>
      </c>
      <c r="D25" s="1">
        <f>Analiza_okvira_LC_kombinirani!H101</f>
        <v>-55.963974071608291</v>
      </c>
      <c r="E25" s="1">
        <f>Analiza_okvira_LC_kombinirani!J101</f>
        <v>225.85112739686465</v>
      </c>
      <c r="F25" s="44" t="str">
        <f>Analiza_okvira_LC_kombinirani!C105</f>
        <v>M 6_4</v>
      </c>
      <c r="G25" s="33">
        <f>Analiza_okvira_LC_kombinirani!H105</f>
        <v>-238.33767782435768</v>
      </c>
      <c r="H25" s="39">
        <f>Analiza_okvira_LC_kombinirani!J105</f>
        <v>-238.21242666814948</v>
      </c>
      <c r="K25" s="33">
        <f t="shared" si="36"/>
        <v>238.33767782435768</v>
      </c>
      <c r="L25" s="1">
        <f t="shared" si="37"/>
        <v>238.21242666814948</v>
      </c>
      <c r="M25" s="39">
        <v>160</v>
      </c>
    </row>
    <row r="26" spans="1:13" x14ac:dyDescent="0.25">
      <c r="A26">
        <f t="shared" si="2"/>
        <v>26</v>
      </c>
      <c r="C26" s="33" t="str">
        <f>Analiza_okvira_LC_kombinirani!C107</f>
        <v>M 6_6'</v>
      </c>
      <c r="D26" s="1">
        <f>Analiza_okvira_LC_kombinirani!H107</f>
        <v>198.20702538452269</v>
      </c>
      <c r="E26" s="1">
        <f>Analiza_okvira_LC_kombinirani!J107</f>
        <v>-83.608076083950266</v>
      </c>
      <c r="F26" s="44"/>
      <c r="G26" s="33"/>
      <c r="H26" s="39"/>
      <c r="K26" s="33">
        <f t="shared" si="36"/>
        <v>198.20702538452269</v>
      </c>
      <c r="L26" s="1">
        <f t="shared" si="37"/>
        <v>83.608076083950266</v>
      </c>
      <c r="M26" s="39">
        <v>160</v>
      </c>
    </row>
    <row r="27" spans="1:13" ht="15.75" thickBot="1" x14ac:dyDescent="0.3">
      <c r="A27">
        <f t="shared" si="2"/>
        <v>27</v>
      </c>
      <c r="C27" s="34" t="str">
        <f>Analiza_okvira_LC_kombinirani!C104</f>
        <v>M 5_6</v>
      </c>
      <c r="D27" s="40">
        <f>Analiza_okvira_LC_kombinirani!H104</f>
        <v>-107.44862633729329</v>
      </c>
      <c r="E27" s="40">
        <f>Analiza_okvira_LC_kombinirani!J104</f>
        <v>0</v>
      </c>
      <c r="F27" s="45" t="str">
        <f>Analiza_okvira_LC_kombinirani!C106</f>
        <v>M 6_5</v>
      </c>
      <c r="G27" s="34">
        <f>Analiza_okvira_LC_kombinirani!H106</f>
        <v>69.818351805144133</v>
      </c>
      <c r="H27" s="41">
        <f>Analiza_okvira_LC_kombinirani!J106</f>
        <v>0</v>
      </c>
      <c r="K27" s="34">
        <f t="shared" si="36"/>
        <v>107.44862633729329</v>
      </c>
      <c r="L27" s="40">
        <f t="shared" si="37"/>
        <v>0</v>
      </c>
      <c r="M27" s="41">
        <v>160</v>
      </c>
    </row>
    <row r="28" spans="1:13" x14ac:dyDescent="0.25">
      <c r="A28">
        <f t="shared" si="2"/>
        <v>28</v>
      </c>
    </row>
    <row r="29" spans="1:13" ht="15.75" thickBot="1" x14ac:dyDescent="0.3">
      <c r="A29">
        <f t="shared" si="2"/>
        <v>29</v>
      </c>
    </row>
    <row r="30" spans="1:13" x14ac:dyDescent="0.25">
      <c r="A30">
        <f t="shared" si="2"/>
        <v>30</v>
      </c>
      <c r="C30" s="30" t="s">
        <v>153</v>
      </c>
      <c r="D30" s="32">
        <v>17</v>
      </c>
    </row>
    <row r="31" spans="1:13" x14ac:dyDescent="0.25">
      <c r="A31">
        <f t="shared" si="2"/>
        <v>31</v>
      </c>
      <c r="C31" s="33" t="s">
        <v>154</v>
      </c>
      <c r="D31" s="96">
        <v>37</v>
      </c>
    </row>
    <row r="32" spans="1:13" x14ac:dyDescent="0.25">
      <c r="A32">
        <f t="shared" si="2"/>
        <v>32</v>
      </c>
      <c r="C32" s="33" t="s">
        <v>155</v>
      </c>
      <c r="D32" s="1">
        <v>4</v>
      </c>
      <c r="E32" s="1">
        <v>5</v>
      </c>
      <c r="F32" s="1">
        <v>6</v>
      </c>
      <c r="G32" s="1">
        <v>7</v>
      </c>
      <c r="H32" s="1">
        <v>8</v>
      </c>
      <c r="I32" s="1">
        <v>9</v>
      </c>
      <c r="J32" s="1">
        <v>10</v>
      </c>
      <c r="K32" s="1">
        <v>11</v>
      </c>
      <c r="L32" s="1">
        <v>12</v>
      </c>
    </row>
    <row r="33" spans="1:4" ht="15.75" thickBot="1" x14ac:dyDescent="0.3">
      <c r="A33">
        <f t="shared" si="2"/>
        <v>33</v>
      </c>
      <c r="C33" s="34"/>
      <c r="D33" s="97"/>
    </row>
  </sheetData>
  <mergeCells count="34">
    <mergeCell ref="CD15:CF15"/>
    <mergeCell ref="CG15:CI15"/>
    <mergeCell ref="BL15:BN15"/>
    <mergeCell ref="BO15:BQ15"/>
    <mergeCell ref="BR15:BT15"/>
    <mergeCell ref="BU15:BW15"/>
    <mergeCell ref="BX15:BZ15"/>
    <mergeCell ref="CA15:CC15"/>
    <mergeCell ref="AK15:AM15"/>
    <mergeCell ref="AN15:AP15"/>
    <mergeCell ref="AQ15:AS15"/>
    <mergeCell ref="AT15:AV15"/>
    <mergeCell ref="AW15:AY15"/>
    <mergeCell ref="AZ15:BB15"/>
    <mergeCell ref="BC15:BE15"/>
    <mergeCell ref="BF15:BH15"/>
    <mergeCell ref="BI15:BK15"/>
    <mergeCell ref="BU3:BW3"/>
    <mergeCell ref="AZ3:BB3"/>
    <mergeCell ref="BX3:BZ3"/>
    <mergeCell ref="CA3:CC3"/>
    <mergeCell ref="CD3:CF3"/>
    <mergeCell ref="CG3:CI3"/>
    <mergeCell ref="BC3:BE3"/>
    <mergeCell ref="BF3:BH3"/>
    <mergeCell ref="BI3:BK3"/>
    <mergeCell ref="BL3:BN3"/>
    <mergeCell ref="BO3:BQ3"/>
    <mergeCell ref="BR3:BT3"/>
    <mergeCell ref="AK3:AM3"/>
    <mergeCell ref="AN3:AP3"/>
    <mergeCell ref="AQ3:AS3"/>
    <mergeCell ref="AT3:AV3"/>
    <mergeCell ref="AW3:AY3"/>
  </mergeCells>
  <conditionalFormatting sqref="I4:I13">
    <cfRule type="cellIs" dxfId="3" priority="4" operator="lessThan">
      <formula>$J$4-0.0001</formula>
    </cfRule>
  </conditionalFormatting>
  <conditionalFormatting sqref="I4:I13">
    <cfRule type="cellIs" dxfId="2" priority="3" operator="greaterThan">
      <formula>$K$4+0.0001</formula>
    </cfRule>
  </conditionalFormatting>
  <conditionalFormatting sqref="K18:K27">
    <cfRule type="cellIs" dxfId="1" priority="2" operator="greaterThan">
      <formula>$M$18+0.001</formula>
    </cfRule>
  </conditionalFormatting>
  <conditionalFormatting sqref="L18:L27">
    <cfRule type="cellIs" dxfId="0" priority="1" operator="greaterThan">
      <formula>$M$18+0.001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TotalProblem">
                <anchor moveWithCells="1" sizeWithCells="1">
                  <from>
                    <xdr:col>1</xdr:col>
                    <xdr:colOff>600075</xdr:colOff>
                    <xdr:row>33</xdr:row>
                    <xdr:rowOff>190500</xdr:rowOff>
                  </from>
                  <to>
                    <xdr:col>4</xdr:col>
                    <xdr:colOff>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ptimizeCurrentProblem">
                <anchor moveWithCells="1" sizeWithCells="1">
                  <from>
                    <xdr:col>1</xdr:col>
                    <xdr:colOff>600075</xdr:colOff>
                    <xdr:row>35</xdr:row>
                    <xdr:rowOff>180975</xdr:rowOff>
                  </from>
                  <to>
                    <xdr:col>4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CEC4A82C82E04FA552D6E104F55E20" ma:contentTypeVersion="13" ma:contentTypeDescription="Create a new document." ma:contentTypeScope="" ma:versionID="c466a90edea72db308cfc28a471809b9">
  <xsd:schema xmlns:xsd="http://www.w3.org/2001/XMLSchema" xmlns:xs="http://www.w3.org/2001/XMLSchema" xmlns:p="http://schemas.microsoft.com/office/2006/metadata/properties" xmlns:ns3="5352636e-b480-4b42-b72c-21df009c97ab" xmlns:ns4="f8fd53ed-80f6-4284-a16e-c8adc3ce9b52" targetNamespace="http://schemas.microsoft.com/office/2006/metadata/properties" ma:root="true" ma:fieldsID="7d4fe99934b9a8878b9b0c1b3a634165" ns3:_="" ns4:_="">
    <xsd:import namespace="5352636e-b480-4b42-b72c-21df009c97ab"/>
    <xsd:import namespace="f8fd53ed-80f6-4284-a16e-c8adc3ce9b5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52636e-b480-4b42-b72c-21df009c9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d53ed-80f6-4284-a16e-c8adc3ce9b5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DB2517-48EC-4543-8F78-EEE415F1EB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52BB94-2690-434B-8647-76139DB76882}">
  <ds:schemaRefs>
    <ds:schemaRef ds:uri="f8fd53ed-80f6-4284-a16e-c8adc3ce9b52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352636e-b480-4b42-b72c-21df009c97ab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8CE4324-1B0F-40E1-81A1-E850DA12BF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52636e-b480-4b42-b72c-21df009c97ab"/>
    <ds:schemaRef ds:uri="f8fd53ed-80f6-4284-a16e-c8adc3ce9b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Radni listovi</vt:lpstr>
      </vt:variant>
      <vt:variant>
        <vt:i4>3</vt:i4>
      </vt:variant>
      <vt:variant>
        <vt:lpstr>Imenovani rasponi</vt:lpstr>
      </vt:variant>
      <vt:variant>
        <vt:i4>11</vt:i4>
      </vt:variant>
    </vt:vector>
  </HeadingPairs>
  <TitlesOfParts>
    <vt:vector size="14" baseType="lpstr">
      <vt:lpstr>Analiza_okvira_LC_kombinirani</vt:lpstr>
      <vt:lpstr>Originalna Analiza_okvira</vt:lpstr>
      <vt:lpstr>Optimizacijski_problem</vt:lpstr>
      <vt:lpstr>fa</vt:lpstr>
      <vt:lpstr>fb</vt:lpstr>
      <vt:lpstr>fc</vt:lpstr>
      <vt:lpstr>fd</vt:lpstr>
      <vt:lpstr>fe</vt:lpstr>
      <vt:lpstr>ff</vt:lpstr>
      <vt:lpstr>pb</vt:lpstr>
      <vt:lpstr>pd</vt:lpstr>
      <vt:lpstr>pj</vt:lpstr>
      <vt:lpstr>pt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2022-06-28T13:43:26Z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0x010100E5CEC4A82C82E04FA552D6E104F55E20</vt:lpwstr>
  </property>
</Properties>
</file>